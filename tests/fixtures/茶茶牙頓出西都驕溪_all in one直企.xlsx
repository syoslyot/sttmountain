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直企P1(列印)" sheetId="1" r:id="rId5"/>
    <sheet state="visible" name="直企P2(列印)" sheetId="2" r:id="rId6"/>
    <sheet state="visible" name="人員資料表" sheetId="3" r:id="rId7"/>
    <sheet state="visible" name="紀錄與估時行程時間軸照片" sheetId="4" r:id="rId8"/>
    <sheet state="visible" name="入山申請文件" sheetId="5" r:id="rId9"/>
    <sheet state="visible" name="藥單" sheetId="6" r:id="rId10"/>
    <sheet state="visible" name="伙食表" sheetId="7" r:id="rId11"/>
    <sheet state="visible" name="運動傷害社課筆記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tc={01c09ead-3219-42f7-a421-634283414cfc}</author>
    <author>tc={024d55c2-d8c5-4524-87f8-18e3bdef75c1}</author>
    <author>tc={027a5d93-94d7-4b62-a8d6-8b5da830030d}</author>
    <author>tc={041b4863-adac-4f1a-9e9f-58b5fab3d3ed}</author>
    <author>tc={090a792d-3ff0-4f51-8d9c-46c4e6490563}</author>
    <author>tc={0e41eae5-feee-4521-a51c-7154114a0bd9}</author>
    <author>tc={10b89ba3-dd01-44f2-82c5-a7b31327475f}</author>
    <author>tc={10b8b776-b684-45aa-a147-f08dee4f3201}</author>
    <author>tc={10d08e4d-7942-44ed-8fe3-53dde026e6c2}</author>
    <author>tc={17f753c0-c710-405a-8a20-ff602a50747b}</author>
    <author>tc={199bbfb2-0c65-4e85-9855-9baf9f3a784a}</author>
    <author>tc={1b7937b3-f2b2-46df-b61d-d20c408f5eb5}</author>
    <author>tc={1d0520a3-c423-40bf-aa1d-300241bd5021}</author>
    <author>tc={1eff1874-703e-4e37-9f60-65d9d91cc8e1}</author>
    <author>tc={260fe725-8048-4d18-a70f-a3f933ca4f4e}</author>
    <author>tc={2613dada-ace0-455c-b284-bd1978f5ad87}</author>
    <author>tc={2840d4a4-a640-4e58-b18f-243e02e55a18}</author>
    <author>tc={2a45148a-6034-4e81-a355-14adf0b74bd0}</author>
    <author>tc={2a90da83-1754-4d40-ab9f-0936dacaec67}</author>
    <author>tc={2b262bc2-07d8-4817-8c34-c0141dd2edc8}</author>
    <author>tc={2b2650be-9d8f-4847-8dea-69ad0b684421}</author>
    <author>tc={2ba3f7c9-1e32-47f1-b262-efcec5c2c3e1}</author>
    <author>tc={2e758c31-dc6f-4b8b-b1db-11ccf3d98a21}</author>
    <author>tc={3162c799-33e9-4fcf-a5e2-ef50ecb5d25d}</author>
    <author>tc={32610b18-4e7a-472b-820a-bc4eb09f9a5b}</author>
    <author>tc={370dbb23-9094-483d-b12d-c7d739a571a0}</author>
    <author>tc={37cb75f3-bcf2-4813-afd1-eba654766e3c}</author>
    <author>tc={400ca944-a4cf-4105-ba8e-42afec6f5d7c}</author>
    <author>tc={42be9527-188a-4dd9-84ac-50f2cdaea3d8}</author>
    <author>tc={460499c4-b4f8-4c31-8f0f-616310860d79}</author>
    <author>tc={4654d7bd-6992-490b-b8b5-5688557ac2e9}</author>
    <author>tc={49b7a051-77ec-4d82-84d2-9a7524e3a284}</author>
    <author>tc={4ada8a1d-c386-4d95-b4aa-b476dacdbbe9}</author>
    <author>tc={4b26efdf-d0c5-477c-993b-46fd9db86d2c}</author>
    <author>tc={4e1fc4b2-aa04-4611-8f35-3f2a78765cde}</author>
    <author>tc={4eee62b8-31e2-414e-991e-bcded48b61dd}</author>
    <author>tc={5310c3e9-7008-4729-8e28-0d7a948b052d}</author>
    <author>tc={54fe3c83-1dda-469d-a9f6-419ce18e931a}</author>
    <author>tc={5aa15e38-8f40-4101-a9d5-597490c3e42f}</author>
    <author>tc={605842d7-23b7-40c2-8485-f040bdff13d0}</author>
    <author>tc={65261e4a-20e3-4c31-8868-2d76eda74207}</author>
    <author>tc={70b1ef61-a36a-4643-b2e9-dad52f860d1c}</author>
    <author>tc={732e765d-c507-44d5-9ea7-97ce0ad3b05d}</author>
    <author>tc={75c3d385-10a1-43f4-acbe-06d2b2663eba}</author>
    <author>tc={7c2682b9-2494-4339-9b55-a775ea0d00c3}</author>
    <author>tc={80554aea-0652-4a5a-8e7e-03354b5efb04}</author>
    <author>tc={80c93ce9-c842-4d7c-a5d4-4a37fa467b64}</author>
    <author>tc={812b4245-57f1-4b13-b08d-df4fe815aa85}</author>
    <author>tc={837064ad-717a-4180-8a33-c2fe510b6605}</author>
    <author>tc={86b4f251-740e-4f65-9985-fde863425dd8}</author>
    <author>tc={87b292fb-7163-4fb3-89ca-a2943c6a30ca}</author>
    <author>tc={89360f0e-1c65-4389-a8f9-0d0ff11d6fed}</author>
    <author>tc={89f86198-6c2c-43b8-b543-b8ac42f11292}</author>
    <author>tc={8a7ee38a-f793-4fb5-bc4f-69c1731beeb7}</author>
    <author>tc={90faa102-6ab3-407a-aa9e-b8f3c95e195a}</author>
    <author>tc={9166c7ce-2842-42df-9eb0-fdcc604c4635}</author>
    <author>tc={929a9cc9-0b43-42de-b51e-bc16fbce0044}</author>
    <author>tc={92c81085-5da5-4432-9321-1eb7de3d5342}</author>
    <author>tc={93e63b3c-ef2a-4b0f-95a7-81c487705656}</author>
    <author>tc={942f6ec2-b27d-4cdf-939d-d7f85c872ca2}</author>
    <author>tc={99c75668-2119-449c-861f-1a86149451f9}</author>
    <author>tc={9aac0532-86d5-4093-a30c-af9afd5f3167}</author>
    <author>tc={a47790d8-5422-4ad9-b6c5-0c6ea196f341}</author>
    <author>tc={a6f7fc7c-e99c-491a-a61f-a145f98ba789}</author>
    <author>tc={a9870afc-daa1-4ae5-8f6d-ea1d2fae8a16}</author>
    <author>tc={b33de3fa-6bf5-4c5a-9fed-c465d995298e}</author>
    <author>tc={b7882d4f-5914-48fc-b7fe-1435c1fc7b41}</author>
    <author>tc={b7b81ef9-f82e-4dc6-bb85-cdc9e4629656}</author>
    <author>tc={bd665d8d-06f4-42a7-83d0-bcef45556134}</author>
    <author>tc={bec92d6c-b27a-4814-bc8b-4952147ea512}</author>
    <author>tc={bf2170d3-d148-4008-ab9c-3c86d4eac6df}</author>
    <author>tc={c207f771-cfda-4c69-aa72-e167e6de7dd6}</author>
    <author>tc={c5514a14-e382-44db-acda-569ab19247f2}</author>
    <author>tc={c56d04ea-25d6-426f-9fd3-58acd2a89a8b}</author>
    <author>tc={c5d95662-0687-4983-a862-5d1c541e8a06}</author>
    <author>tc={c9426dd2-5c13-4fdf-99bd-4ffc44138ac1}</author>
    <author>tc={ca8a4798-ee86-4bf2-8b21-e1cc4bbf6af9}</author>
    <author>tc={cc7cedd0-0f46-46c2-8182-58276ef46541}</author>
    <author>tc={ccce9dae-4b61-4a83-bb8f-8fd84ac7236a}</author>
    <author>tc={cf12da9b-a054-4d0e-87a6-3cd614f1c0f8}</author>
    <author>tc={cf39bdb9-e751-4666-8faa-76e169af502d}</author>
    <author>tc={d22ae587-3fe9-4421-9e79-d3cc8d01013b}</author>
    <author>tc={d5996a7b-a399-4e51-8945-b0cb42cce79c}</author>
    <author>tc={d6e1b713-942b-47f4-8715-0c8c4b30bf54}</author>
    <author>tc={d7252b68-fe72-458d-9f0e-7585d0290316}</author>
    <author>tc={d8ef208f-a657-4ee9-b792-e21006a09710}</author>
    <author>tc={da4c796f-71c6-4b98-b1e3-ad7d620b1233}</author>
    <author>tc={ddc7d452-e612-40e8-87be-4d84a3897615}</author>
    <author>tc={de60ac1d-1810-4399-a000-e0a8971c858d}</author>
    <author>tc={e791d372-6564-4eb6-9879-f44fee7ad328}</author>
    <author>tc={e98edea3-c8c0-4351-a7d1-403d3d1f3113}</author>
    <author>tc={ea8b29c3-cb73-4950-97e4-bac79b74cae6}</author>
    <author>tc={eb6b02ac-c601-4e02-a264-941f090b9391}</author>
    <author>tc={ecb4a7c7-55e8-455f-ab18-65cb94a0fc86}</author>
    <author>tc={f2a907c0-b26a-43aa-b4cd-0dab36731bec}</author>
    <author>tc={f5d3c3fb-d0ad-4ef5-9c3b-cb3d4291d8e4}</author>
    <author>tc={f79344f5-2a18-4cef-ab37-7ffa398e5aeb}</author>
    <author>tc={fdc02f7c-8780-4c98-9e7a-6a072c4f69c6}</author>
    <author>tc={fedaf0eb-7e22-4c09-82cc-f508e91c2ecf}</author>
  </authors>
  <commentList>
    <comment authorId="0" xr:uid="{01c09ead-3219-42f7-a421-634283414cfc}" ref="Q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" xr:uid="{024d55c2-d8c5-4524-87f8-18e3bdef75c1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" xr:uid="{027a5d93-94d7-4b62-a8d6-8b5da830030d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" xr:uid="{041b4863-adac-4f1a-9e9f-58b5fab3d3ed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" xr:uid="{090a792d-3ff0-4f51-8d9c-46c4e6490563}" ref="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" xr:uid="{0e41eae5-feee-4521-a51c-7154114a0bd9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" xr:uid="{10b89ba3-dd01-44f2-82c5-a7b31327475f}" ref="O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" xr:uid="{10b8b776-b684-45aa-a147-f08dee4f3201}" ref="P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" xr:uid="{10d08e4d-7942-44ed-8fe3-53dde026e6c2}" ref="W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" xr:uid="{17f753c0-c710-405a-8a20-ff602a50747b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0" xr:uid="{199bbfb2-0c65-4e85-9855-9baf9f3a784a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1" xr:uid="{1b7937b3-f2b2-46df-b61d-d20c408f5eb5}" ref="W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2" xr:uid="{1d0520a3-c423-40bf-aa1d-300241bd5021}" ref="U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3" xr:uid="{1eff1874-703e-4e37-9f60-65d9d91cc8e1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4" xr:uid="{260fe725-8048-4d18-a70f-a3f933ca4f4e}" ref="S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5" xr:uid="{2613dada-ace0-455c-b284-bd1978f5ad87}" ref="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6" xr:uid="{2840d4a4-a640-4e58-b18f-243e02e55a18}" ref="A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7" xr:uid="{2a45148a-6034-4e81-a355-14adf0b74bd0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8" xr:uid="{2a90da83-1754-4d40-ab9f-0936dacaec67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19" xr:uid="{2b262bc2-07d8-4817-8c34-c0141dd2edc8}" ref="W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0" xr:uid="{2b2650be-9d8f-4847-8dea-69ad0b684421}" ref="W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1" xr:uid="{2ba3f7c9-1e32-47f1-b262-efcec5c2c3e1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2" xr:uid="{2e758c31-dc6f-4b8b-b1db-11ccf3d98a21}" ref="V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3" xr:uid="{3162c799-33e9-4fcf-a5e2-ef50ecb5d25d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4" xr:uid="{32610b18-4e7a-472b-820a-bc4eb09f9a5b}" ref="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5" xr:uid="{370dbb23-9094-483d-b12d-c7d739a571a0}" ref="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6" xr:uid="{37cb75f3-bcf2-4813-afd1-eba654766e3c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7" xr:uid="{400ca944-a4cf-4105-ba8e-42afec6f5d7c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8" xr:uid="{42be9527-188a-4dd9-84ac-50f2cdaea3d8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29" xr:uid="{460499c4-b4f8-4c31-8f0f-616310860d79}" ref="M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0" xr:uid="{4654d7bd-6992-490b-b8b5-5688557ac2e9}" ref="W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1" xr:uid="{49b7a051-77ec-4d82-84d2-9a7524e3a284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2" xr:uid="{4ada8a1d-c386-4d95-b4aa-b476dacdbbe9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3" xr:uid="{4b26efdf-d0c5-477c-993b-46fd9db86d2c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4" xr:uid="{4e1fc4b2-aa04-4611-8f35-3f2a78765cde}" ref="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5" xr:uid="{4eee62b8-31e2-414e-991e-bcded48b61dd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6" xr:uid="{5310c3e9-7008-4729-8e28-0d7a948b052d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7" xr:uid="{54fe3c83-1dda-469d-a9f6-419ce18e931a}" ref="W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8" xr:uid="{5aa15e38-8f40-4101-a9d5-597490c3e42f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39" xr:uid="{605842d7-23b7-40c2-8485-f040bdff13d0}" ref="X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0" xr:uid="{65261e4a-20e3-4c31-8868-2d76eda74207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1" xr:uid="{70b1ef61-a36a-4643-b2e9-dad52f860d1c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2" xr:uid="{732e765d-c507-44d5-9ea7-97ce0ad3b05d}" ref="A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3" xr:uid="{75c3d385-10a1-43f4-acbe-06d2b2663eba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4" xr:uid="{7c2682b9-2494-4339-9b55-a775ea0d00c3}" ref="A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5" xr:uid="{80554aea-0652-4a5a-8e7e-03354b5efb04}" ref="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6" xr:uid="{80c93ce9-c842-4d7c-a5d4-4a37fa467b64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7" xr:uid="{812b4245-57f1-4b13-b08d-df4fe815aa85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8" xr:uid="{837064ad-717a-4180-8a33-c2fe510b6605}" ref="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49" xr:uid="{86b4f251-740e-4f65-9985-fde863425dd8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0" xr:uid="{87b292fb-7163-4fb3-89ca-a2943c6a30ca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1" xr:uid="{89360f0e-1c65-4389-a8f9-0d0ff11d6fed}" ref="T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2" xr:uid="{89f86198-6c2c-43b8-b543-b8ac42f11292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3" xr:uid="{8a7ee38a-f793-4fb5-bc4f-69c1731beeb7}" ref="X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4" xr:uid="{90faa102-6ab3-407a-aa9e-b8f3c95e195a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5" xr:uid="{9166c7ce-2842-42df-9eb0-fdcc604c4635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6" xr:uid="{929a9cc9-0b43-42de-b51e-bc16fbce0044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7" xr:uid="{92c81085-5da5-4432-9321-1eb7de3d5342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8" xr:uid="{93e63b3c-ef2a-4b0f-95a7-81c487705656}" ref="T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59" xr:uid="{942f6ec2-b27d-4cdf-939d-d7f85c872ca2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0" xr:uid="{99c75668-2119-449c-861f-1a86149451f9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1" xr:uid="{9aac0532-86d5-4093-a30c-af9afd5f3167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2" xr:uid="{a47790d8-5422-4ad9-b6c5-0c6ea196f341}" ref="J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3" xr:uid="{a6f7fc7c-e99c-491a-a61f-a145f98ba789}" ref="A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4" xr:uid="{a9870afc-daa1-4ae5-8f6d-ea1d2fae8a16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5" xr:uid="{b33de3fa-6bf5-4c5a-9fed-c465d995298e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6" xr:uid="{b7882d4f-5914-48fc-b7fe-1435c1fc7b41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7" xr:uid="{b7b81ef9-f82e-4dc6-bb85-cdc9e4629656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8" xr:uid="{bd665d8d-06f4-42a7-83d0-bcef45556134}" ref="A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69" xr:uid="{bec92d6c-b27a-4814-bc8b-4952147ea512}" ref="N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0" xr:uid="{bf2170d3-d148-4008-ab9c-3c86d4eac6df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1" xr:uid="{c207f771-cfda-4c69-aa72-e167e6de7dd6}" ref="Z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2" xr:uid="{c5514a14-e382-44db-acda-569ab19247f2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3" xr:uid="{c56d04ea-25d6-426f-9fd3-58acd2a89a8b}" ref="A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4" xr:uid="{c5d95662-0687-4983-a862-5d1c541e8a06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5" xr:uid="{c9426dd2-5c13-4fdf-99bd-4ffc44138ac1}" ref="U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6" xr:uid="{ca8a4798-ee86-4bf2-8b21-e1cc4bbf6af9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7" xr:uid="{cc7cedd0-0f46-46c2-8182-58276ef46541}" ref="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8" xr:uid="{ccce9dae-4b61-4a83-bb8f-8fd84ac7236a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79" xr:uid="{cf12da9b-a054-4d0e-87a6-3cd614f1c0f8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0" xr:uid="{cf39bdb9-e751-4666-8faa-76e169af502d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1" xr:uid="{d22ae587-3fe9-4421-9e79-d3cc8d01013b}" ref="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2" xr:uid="{d5996a7b-a399-4e51-8945-b0cb42cce79c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3" xr:uid="{d6e1b713-942b-47f4-8715-0c8c4b30bf54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4" xr:uid="{d7252b68-fe72-458d-9f0e-7585d0290316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5" xr:uid="{d8ef208f-a657-4ee9-b792-e21006a09710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6" xr:uid="{da4c796f-71c6-4b98-b1e3-ad7d620b1233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7" xr:uid="{ddc7d452-e612-40e8-87be-4d84a3897615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8" xr:uid="{de60ac1d-1810-4399-a000-e0a8971c858d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89" xr:uid="{e791d372-6564-4eb6-9879-f44fee7ad328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0" xr:uid="{e98edea3-c8c0-4351-a7d1-403d3d1f3113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1" xr:uid="{ea8b29c3-cb73-4950-97e4-bac79b74cae6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2" xr:uid="{eb6b02ac-c601-4e02-a264-941f090b9391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3" xr:uid="{ecb4a7c7-55e8-455f-ab18-65cb94a0fc86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4" xr:uid="{f2a907c0-b26a-43aa-b4cd-0dab36731bec}" ref="T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5" xr:uid="{f5d3c3fb-d0ad-4ef5-9c3b-cb3d4291d8e4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6" xr:uid="{f79344f5-2a18-4cef-ab37-7ffa398e5aeb}" ref="V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7" xr:uid="{fdc02f7c-8780-4c98-9e7a-6a072c4f69c6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  <comment authorId="98" xr:uid="{fedaf0eb-7e22-4c09-82cc-f508e91c2ecf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回覆者更新了這個值。
</t>
      </text>
    </comment>
  </commentList>
</comments>
</file>

<file path=xl/sharedStrings.xml><?xml version="1.0" encoding="utf-8"?>
<sst xmlns="http://schemas.openxmlformats.org/spreadsheetml/2006/main" count="944" uniqueCount="707">
  <si>
    <t>＊ 107.09.26 簽核版本</t>
  </si>
  <si>
    <t>國立成功大學 登山協會</t>
  </si>
  <si>
    <t>茶茶牙頓出西都驕溪</t>
  </si>
  <si>
    <t>登山活動計劃書</t>
  </si>
  <si>
    <t>活動日期</t>
  </si>
  <si>
    <t>自 民國 115 年 4 月 30 日 20 時</t>
  </si>
  <si>
    <t>入山：臺東縣達仁鄉</t>
  </si>
  <si>
    <t>至 民國 115 年 5 月 3 日 15 時，共計 3 日 3 夜</t>
  </si>
  <si>
    <t>出山：屏東縣獅子鄉</t>
  </si>
  <si>
    <t>隊伍性質</t>
  </si>
  <si>
    <t>級數： D 級隊</t>
  </si>
  <si>
    <t xml:space="preserve"> 性質： 探勘隊</t>
  </si>
  <si>
    <t>(協會法規) 幹部 3 人 / 隊員 6 人 / 非隊員 8 人</t>
  </si>
  <si>
    <t>行程表</t>
  </si>
  <si>
    <t xml:space="preserve"> 糧食：　　　　3   　　　日份</t>
  </si>
  <si>
    <t xml:space="preserve"> 備糧：　　1　　日份</t>
  </si>
  <si>
    <t>水源</t>
  </si>
  <si>
    <t>通訊</t>
  </si>
  <si>
    <t>4/30 D0：</t>
  </si>
  <si>
    <t>成大光口→加羅坂部落→浸水營古道東段登山口 C0</t>
  </si>
  <si>
    <t>O
(大武溪)</t>
  </si>
  <si>
    <t>O</t>
  </si>
  <si>
    <t>5/1 D1：</t>
  </si>
  <si>
    <t>C0→上溯大武溪溪床→大武溪溪底登山口H200→茶茶牙頓駐在所H470→茶茶牙頓社→落葉營地H716→寬稜營地H850 C1</t>
  </si>
  <si>
    <t>X</t>
  </si>
  <si>
    <t>5/2 D2：</t>
  </si>
  <si>
    <t>C1→P1075峰→P1325茶茶牙頓山→小空地營地H1143→茶茶牙頓山鐵牌→石壁水源H520→新都驕溪河灘營地 C2</t>
  </si>
  <si>
    <t>O
(新都驕溪)</t>
  </si>
  <si>
    <t>5/3 D3：</t>
  </si>
  <si>
    <t>C2→西都驕溪溪床登山口</t>
  </si>
  <si>
    <t>O
(西都驕溪)</t>
  </si>
  <si>
    <t xml:space="preserve">撤退路線： </t>
  </si>
  <si>
    <t>出隊期間有颱風警報、公路斷掉，則倒隊。
茶茶牙頓山前原路撤退出大武溪溪床(姑仔崙吊橋)，過茶茶牙頓山後則加速往西都驕溪撤出。</t>
  </si>
  <si>
    <t>附件：地圖與路線</t>
  </si>
  <si>
    <t>轉進路線：</t>
  </si>
  <si>
    <t>若P1075峰至茶茶牙頓山之間探勘路窒礙難行，D2原路撤回大武溪溪底登山口，D3上溯茶茶牙頓溪後上正南稜接浸水營古道出大漢林道。</t>
  </si>
  <si>
    <t>保險時間：</t>
  </si>
  <si>
    <t>115 年 4 月 30 日 20 時至 115 年 5 月 3 日 20 時</t>
  </si>
  <si>
    <t xml:space="preserve">　預備天：  1  天</t>
  </si>
  <si>
    <t>工作人員</t>
  </si>
  <si>
    <t>姓　名</t>
  </si>
  <si>
    <t>電　話</t>
  </si>
  <si>
    <t>資　料</t>
  </si>
  <si>
    <t>嚮導簽章</t>
  </si>
  <si>
    <t>主持人</t>
  </si>
  <si>
    <t>程效賢</t>
  </si>
  <si>
    <t>0939952841</t>
  </si>
  <si>
    <t>土木114 (OB)</t>
  </si>
  <si>
    <t>留　守</t>
  </si>
  <si>
    <t>宋張齊</t>
  </si>
  <si>
    <t>0906532363</t>
  </si>
  <si>
    <t>醫藥：楊育銘</t>
  </si>
  <si>
    <t>保險：張仁熏</t>
  </si>
  <si>
    <t>裝備：宋侑達</t>
  </si>
  <si>
    <t>紀錄總整：新生</t>
  </si>
  <si>
    <t>公文：傅琨鋮、劉祐任、邱以昕</t>
  </si>
  <si>
    <t>入山：郭佳宛</t>
  </si>
  <si>
    <t>領　隊</t>
  </si>
  <si>
    <t>大廚：張婷萱、邱于馨</t>
  </si>
  <si>
    <t>剪片：吳琇如</t>
  </si>
  <si>
    <t>嚮　導</t>
  </si>
  <si>
    <t>宋侑達</t>
  </si>
  <si>
    <t>0966139234</t>
  </si>
  <si>
    <t>二廚：陳莉臻、李思誼</t>
  </si>
  <si>
    <t>包車：陳柏亨</t>
  </si>
  <si>
    <t>行前會</t>
  </si>
  <si>
    <t>日期</t>
  </si>
  <si>
    <t>地點</t>
  </si>
  <si>
    <t>項目</t>
  </si>
  <si>
    <t>第一次</t>
  </si>
  <si>
    <t>2026/4/23 2026/4/24</t>
  </si>
  <si>
    <t>線上</t>
  </si>
  <si>
    <t>隊伍分工、行前教育、行程解說</t>
  </si>
  <si>
    <t>-</t>
  </si>
  <si>
    <t>自行訓練</t>
  </si>
  <si>
    <t>第二次</t>
  </si>
  <si>
    <t>社辦</t>
  </si>
  <si>
    <t xml:space="preserve">分公裝食材、檢查地圖記錄、蜂螫蛇咬迷途               </t>
  </si>
  <si>
    <t>＊ 下表由成大山協內部流程使用</t>
  </si>
  <si>
    <t>幹部群長</t>
  </si>
  <si>
    <t>幹部群</t>
  </si>
  <si>
    <t>審核留言</t>
  </si>
  <si>
    <t>總務</t>
  </si>
  <si>
    <t>指導老師</t>
  </si>
  <si>
    <t>山防組長</t>
  </si>
  <si>
    <t>(06) 270 2082
0920 842 015</t>
  </si>
  <si>
    <t>裝 備 表</t>
  </si>
  <si>
    <t>留 守 資 料</t>
  </si>
  <si>
    <t>公共裝備</t>
  </si>
  <si>
    <t>四人帳棚</t>
  </si>
  <si>
    <t>衛星電話</t>
  </si>
  <si>
    <t>爐頭</t>
  </si>
  <si>
    <t>技術裝備</t>
  </si>
  <si>
    <t>團體</t>
  </si>
  <si>
    <t>20米扁+2D</t>
  </si>
  <si>
    <t>交通方式</t>
  </si>
  <si>
    <t>來回九人座*2</t>
  </si>
  <si>
    <t>10人雨布</t>
  </si>
  <si>
    <t>高度計</t>
  </si>
  <si>
    <t>瓦斯</t>
  </si>
  <si>
    <t>司機電話</t>
  </si>
  <si>
    <t>黑皮大哥</t>
  </si>
  <si>
    <t>地紙(L)</t>
  </si>
  <si>
    <t>無線電</t>
  </si>
  <si>
    <t>鍋/瓢/蓋</t>
  </si>
  <si>
    <t>營釘</t>
  </si>
  <si>
    <t>路標(捆)</t>
  </si>
  <si>
    <t>山刀</t>
  </si>
  <si>
    <t>頻道台號</t>
  </si>
  <si>
    <t>144.280</t>
  </si>
  <si>
    <t>營繩</t>
  </si>
  <si>
    <t>收音機</t>
  </si>
  <si>
    <t>枝剪</t>
  </si>
  <si>
    <t>個人</t>
  </si>
  <si>
    <t>岩盔</t>
  </si>
  <si>
    <t>Garmin inReach mini 2</t>
  </si>
  <si>
    <t>醫藥箱</t>
  </si>
  <si>
    <t>garmin2</t>
  </si>
  <si>
    <t>鋸子</t>
  </si>
  <si>
    <t>溯溪鞋</t>
  </si>
  <si>
    <t>開機時間</t>
  </si>
  <si>
    <t>鋁箔棉手套</t>
  </si>
  <si>
    <t>登山杖</t>
  </si>
  <si>
    <t>鋁箔</t>
  </si>
  <si>
    <t>丟露宿裝備</t>
  </si>
  <si>
    <t>其他備註：</t>
  </si>
  <si>
    <t xml:space="preserve">https://share.garmin.com/sttsgarmin                                                          </t>
  </si>
  <si>
    <t>注意事項：</t>
  </si>
  <si>
    <t xml:space="preserve">黃藤等刺刺植物多 輕裝包 背包防水!! 公水：空水罐1.5L+行進水                                                        </t>
  </si>
  <si>
    <t>李老師</t>
  </si>
  <si>
    <t>0920 842 015</t>
  </si>
  <si>
    <t>＊ 若欄位不足請自行延伸</t>
  </si>
  <si>
    <t>人員資料</t>
  </si>
  <si>
    <t>學號
系級</t>
  </si>
  <si>
    <t>姓名
電話</t>
  </si>
  <si>
    <t>級數
資歷</t>
  </si>
  <si>
    <t>身分證字號
生日</t>
  </si>
  <si>
    <t>緊急聯絡人(關係)
電話</t>
  </si>
  <si>
    <t>血型</t>
  </si>
  <si>
    <t>藥物
過敏</t>
  </si>
  <si>
    <t>未成年
&lt; 18</t>
  </si>
  <si>
    <t>領</t>
  </si>
  <si>
    <t>嚮</t>
  </si>
  <si>
    <t>隊</t>
  </si>
  <si>
    <t>新</t>
  </si>
  <si>
    <t>範例</t>
  </si>
  <si>
    <t>填寫時間</t>
  </si>
  <si>
    <t>蒐集資料同意</t>
  </si>
  <si>
    <t>想說的話</t>
  </si>
  <si>
    <t>全名</t>
  </si>
  <si>
    <t>嚮導隊</t>
  </si>
  <si>
    <t>資歷</t>
  </si>
  <si>
    <t>生理性別</t>
  </si>
  <si>
    <t>臉書網址 FB</t>
  </si>
  <si>
    <t>手機</t>
  </si>
  <si>
    <t>系級</t>
  </si>
  <si>
    <t>學號</t>
  </si>
  <si>
    <t>身分證字號</t>
  </si>
  <si>
    <t>生日</t>
  </si>
  <si>
    <t>戶籍地址</t>
  </si>
  <si>
    <t>緊急聯絡人</t>
  </si>
  <si>
    <t>緊急連絡人電話</t>
  </si>
  <si>
    <t>保險受益人</t>
  </si>
  <si>
    <t>藥物過敏史</t>
  </si>
  <si>
    <t>CPR急救認證</t>
  </si>
  <si>
    <t>急救認證期限</t>
  </si>
  <si>
    <t>討厭吃</t>
  </si>
  <si>
    <t>電子郵件</t>
  </si>
  <si>
    <t>先天/遺傳/慢性性病史</t>
  </si>
  <si>
    <t>一</t>
  </si>
  <si>
    <t>二</t>
  </si>
  <si>
    <t>三</t>
  </si>
  <si>
    <t>四</t>
  </si>
  <si>
    <t>五</t>
  </si>
  <si>
    <t>資深繳費會員，願意成為每次出隊資料使用 【歡迎隨時登入更新資料】</t>
  </si>
  <si>
    <t>熊</t>
  </si>
  <si>
    <t>A/奇萊東稜下嵐山</t>
  </si>
  <si>
    <t>男 BOY</t>
  </si>
  <si>
    <t>土木114</t>
  </si>
  <si>
    <t>E64102038</t>
  </si>
  <si>
    <t>F131195218</t>
  </si>
  <si>
    <t>新北市永和區博愛街19巷7號2樓</t>
  </si>
  <si>
    <t>金愛君（母子）</t>
  </si>
  <si>
    <t>0952952841</t>
  </si>
  <si>
    <t>同 緊急聯絡人  ENMERGENCY CONTECT PERSON</t>
  </si>
  <si>
    <t>B</t>
  </si>
  <si>
    <t>NKDA</t>
  </si>
  <si>
    <t>榴槤 納豆 芋頭</t>
  </si>
  <si>
    <t>E64102038@gs.ncku.edu.tw</t>
  </si>
  <si>
    <t/>
  </si>
  <si>
    <t>無</t>
  </si>
  <si>
    <t>o</t>
  </si>
  <si>
    <t>博博白雪大眾化</t>
  </si>
  <si>
    <t>羊</t>
  </si>
  <si>
    <t>B活/大壩聖稜</t>
  </si>
  <si>
    <t>https://www.facebook.com/profile.php?id=100011330507694</t>
  </si>
  <si>
    <t>水利114</t>
  </si>
  <si>
    <t>E84104034</t>
  </si>
  <si>
    <t>L125840395</t>
  </si>
  <si>
    <t>台中市豐原區鐮村路465巷64弄16號</t>
  </si>
  <si>
    <t>宋坤龍（父子）</t>
  </si>
  <si>
    <t>0928542036</t>
  </si>
  <si>
    <t>A</t>
  </si>
  <si>
    <t>leo66pig@gmail.com</t>
  </si>
  <si>
    <t>呵呵呵呵</t>
  </si>
  <si>
    <t>陳柏亨</t>
  </si>
  <si>
    <t>狼</t>
  </si>
  <si>
    <t>12A 童話嘆息</t>
  </si>
  <si>
    <t>0905377012</t>
  </si>
  <si>
    <t>地科114</t>
  </si>
  <si>
    <t>C44106206</t>
  </si>
  <si>
    <t>E125475393</t>
  </si>
  <si>
    <t>高雄市苓雅區中正二路103號八樓之一</t>
  </si>
  <si>
    <t>張文瀞（母子）</t>
  </si>
  <si>
    <t>0929331445</t>
  </si>
  <si>
    <t>香菜香菜香菜</t>
  </si>
  <si>
    <t>chenhenry2003@gmail.com</t>
  </si>
  <si>
    <t>2D溯 爺巴堪</t>
  </si>
  <si>
    <t>張薰慈</t>
  </si>
  <si>
    <t>A/知本林鐵</t>
  </si>
  <si>
    <t>女 GIRL</t>
  </si>
  <si>
    <t>0976818408</t>
  </si>
  <si>
    <t>牙醫115</t>
  </si>
  <si>
    <t>I94096024</t>
  </si>
  <si>
    <t>F230782791</t>
  </si>
  <si>
    <t>新北市土城區承天路107巷14號三樓</t>
  </si>
  <si>
    <t>徐碧卿（母女）</t>
  </si>
  <si>
    <t>0976533082</t>
  </si>
  <si>
    <t>甲殼類海鮮過敏（蝦子、螃蟹）</t>
  </si>
  <si>
    <t>I94096024@gs.ncku.edu.tw</t>
  </si>
  <si>
    <t>已經現繳給總務（？）了</t>
  </si>
  <si>
    <t>資深繳費會員，同意作為社團通訊錄使用 (僅公開：姓名、系級、嚮導隊、電話)</t>
  </si>
  <si>
    <t>扁桃腺</t>
  </si>
  <si>
    <t>陳莉臻</t>
  </si>
  <si>
    <t>鷹</t>
  </si>
  <si>
    <t>B/剩餞</t>
  </si>
  <si>
    <t>0905574912</t>
  </si>
  <si>
    <t>資訊115</t>
  </si>
  <si>
    <t>AN4116063</t>
  </si>
  <si>
    <t>O200644071</t>
  </si>
  <si>
    <t>新竹市北區西大路681巷12號</t>
  </si>
  <si>
    <t>張雅惠（母女）</t>
  </si>
  <si>
    <t>0922313887</t>
  </si>
  <si>
    <t>AB</t>
  </si>
  <si>
    <t>午餐肉</t>
  </si>
  <si>
    <t>lileee0801@gmail.com</t>
  </si>
  <si>
    <t>2D/初溯</t>
  </si>
  <si>
    <t>×</t>
  </si>
  <si>
    <t>張仁熏</t>
  </si>
  <si>
    <t>https://www.facebook.com/share/KD6oNSX6DdMYHvW4/</t>
  </si>
  <si>
    <t>0912683511</t>
  </si>
  <si>
    <t>心理117</t>
  </si>
  <si>
    <t>D84136014</t>
  </si>
  <si>
    <t>A132077143</t>
  </si>
  <si>
    <t>台北市大同區敦煌路80巷2號9樓之二</t>
  </si>
  <si>
    <t>蔡茵如（母子）</t>
  </si>
  <si>
    <t>0921308802</t>
  </si>
  <si>
    <t>香菜</t>
  </si>
  <si>
    <t>d84136014@gs.ncku.edu.tw</t>
  </si>
  <si>
    <t>【剛剛繳完會費了!】</t>
  </si>
  <si>
    <t>羅娜神木隊大眾化</t>
  </si>
  <si>
    <t>曾翔鈺</t>
  </si>
  <si>
    <t>8B/丹大溫泉</t>
  </si>
  <si>
    <t>Shiang Yu Tseng</t>
  </si>
  <si>
    <t>0926801336</t>
  </si>
  <si>
    <t>生科碩二</t>
  </si>
  <si>
    <t>L56134166</t>
  </si>
  <si>
    <t>A230567431</t>
  </si>
  <si>
    <t>臺北市文山區興隆路二段203巷80號9樓</t>
  </si>
  <si>
    <t>曾厚勳（父女）</t>
  </si>
  <si>
    <t>0927238063</t>
  </si>
  <si>
    <t>同 緊急聯絡人  SAME AS EMERGENCY CONTACT PERSON</t>
  </si>
  <si>
    <t>豆製品</t>
  </si>
  <si>
    <t>mable.tseng@gmail.com</t>
  </si>
  <si>
    <t>現金</t>
  </si>
  <si>
    <t>D/鮭魚炒飯</t>
  </si>
  <si>
    <t>白雪村大眾化</t>
  </si>
  <si>
    <t>李思誼</t>
  </si>
  <si>
    <t>星</t>
  </si>
  <si>
    <t>8B勘/巴冷公主撞月樹</t>
  </si>
  <si>
    <t>https://www.facebook.com/profile.php?id=100002945606561</t>
  </si>
  <si>
    <t>0985204657</t>
  </si>
  <si>
    <t>建研所</t>
  </si>
  <si>
    <t>E74096035</t>
  </si>
  <si>
    <t>F230379909</t>
  </si>
  <si>
    <t>新北市板橋區長江路二段93號3樓</t>
  </si>
  <si>
    <t>李昭俊（父女）</t>
  </si>
  <si>
    <t>0922023106</t>
  </si>
  <si>
    <t>nope</t>
  </si>
  <si>
    <t>sunny12345330@gmail.com</t>
  </si>
  <si>
    <t>楊育銘</t>
  </si>
  <si>
    <t>C活/西拉歐卡</t>
  </si>
  <si>
    <t>https://www.facebook.com/profile.php?id=100006236040371</t>
  </si>
  <si>
    <t>0986873262</t>
  </si>
  <si>
    <t>資源所112</t>
  </si>
  <si>
    <t>N46114213</t>
  </si>
  <si>
    <t>A127342866</t>
  </si>
  <si>
    <t>高雄市三民區松江街22號</t>
  </si>
  <si>
    <t>楊定恭（父子）</t>
  </si>
  <si>
    <t>0963278285</t>
  </si>
  <si>
    <t>茄子</t>
  </si>
  <si>
    <t>ga2877536@gmail.com</t>
  </si>
  <si>
    <t>初溯</t>
  </si>
  <si>
    <t>邱以昕</t>
  </si>
  <si>
    <t>新生 freshman</t>
  </si>
  <si>
    <t>C/忘了</t>
  </si>
  <si>
    <t>https://www.facebook.com/share/1E5diB4wxx/?mibextid=wwXIfr</t>
  </si>
  <si>
    <t>0978001281</t>
  </si>
  <si>
    <t>土木118</t>
  </si>
  <si>
    <t>E64141090</t>
  </si>
  <si>
    <t>A132065296</t>
  </si>
  <si>
    <t>台北市士林區忠誠路一段112號5樓</t>
  </si>
  <si>
    <t>邱威凱（父子）</t>
  </si>
  <si>
    <t>0972811139</t>
  </si>
  <si>
    <t>一切蕈類</t>
  </si>
  <si>
    <t>Sha948887@gmail.com</t>
  </si>
  <si>
    <t>X上溯/外雙溪</t>
  </si>
  <si>
    <t>哆啦a夢大雄的鋼鐵兵團</t>
  </si>
  <si>
    <t>劉祐任</t>
  </si>
  <si>
    <t>D/大眾化白雪村採樟腦</t>
  </si>
  <si>
    <t>0934212106</t>
  </si>
  <si>
    <t>航太118</t>
  </si>
  <si>
    <t>F44141151</t>
  </si>
  <si>
    <t>N126883789</t>
  </si>
  <si>
    <t>彰化縣二林鎮西平里中正路65號</t>
  </si>
  <si>
    <t>劉玠庭（父子）</t>
  </si>
  <si>
    <t>0953080665</t>
  </si>
  <si>
    <t>無NKDA</t>
  </si>
  <si>
    <t>youren0220@gmail.com</t>
  </si>
  <si>
    <t>已現金繳費</t>
  </si>
  <si>
    <t>馬海僕大眾化，［抱大腿🫂🦵］偉大的大大學長姐們，我是個菜菜，求學長姊撈撈，菜菜，撈撈Orz</t>
  </si>
  <si>
    <t>郭佳宛</t>
  </si>
  <si>
    <t>C/萬山岩雕</t>
  </si>
  <si>
    <t>https://www.facebook.com/crazie.kuo</t>
  </si>
  <si>
    <t>0906871119</t>
  </si>
  <si>
    <t>台文118</t>
  </si>
  <si>
    <t>B54144726</t>
  </si>
  <si>
    <t>N226495432</t>
  </si>
  <si>
    <t>彰化縣鹿港鎮鹿東里2鄰鹿東路244號</t>
  </si>
  <si>
    <t>劉婉慧（母女）</t>
  </si>
  <si>
    <t>0918879151</t>
  </si>
  <si>
    <t>各種肉、海鮮、茄子、秋葵、桂圓、芝麻、韭菜、青椒、洋蔥、牛奶被單獨出現、胡蘿蔔、苦瓜、芹菜、蔥薑蒜、香菜、紅棗</t>
  </si>
  <si>
    <t>crazie1109@gmail.com</t>
  </si>
  <si>
    <t>於社辦繳交</t>
  </si>
  <si>
    <t>蔡岳承</t>
  </si>
  <si>
    <t>D勘/蛟龍爬去哪</t>
  </si>
  <si>
    <t>https://www.facebook.com/share/1Cj373UwWa/</t>
  </si>
  <si>
    <t>0909323691</t>
  </si>
  <si>
    <t>生科碩一</t>
  </si>
  <si>
    <t>L56144137</t>
  </si>
  <si>
    <t>B123726590</t>
  </si>
  <si>
    <t>臺中市南屯區向心里1鄰南屯路二段269號</t>
  </si>
  <si>
    <t>蔡至強（父子）</t>
  </si>
  <si>
    <t>0923309046</t>
  </si>
  <si>
    <t>voyagueyct@gmail.com</t>
  </si>
  <si>
    <t>高山反應</t>
  </si>
  <si>
    <t>給劉</t>
  </si>
  <si>
    <t>水漾羅娜神木大眾化</t>
  </si>
  <si>
    <t>張婷萱</t>
  </si>
  <si>
    <t>新生</t>
  </si>
  <si>
    <t>https://www.facebook.com/share/18FcvE3SrM/?mibextid=wwXIfr</t>
  </si>
  <si>
    <t>0918023813</t>
  </si>
  <si>
    <t>D84134020</t>
  </si>
  <si>
    <t>S225265256</t>
  </si>
  <si>
    <t>高雄市桃源區勤和里南橫公路三段33號</t>
  </si>
  <si>
    <t>黃范竹芳（母女）</t>
  </si>
  <si>
    <t>0976525634</t>
  </si>
  <si>
    <t>不知道⋯</t>
  </si>
  <si>
    <t>不吃辣，其他都吃！</t>
  </si>
  <si>
    <t>zhangtingxuan017@gmail.com</t>
  </si>
  <si>
    <t>馬海濮大眾化</t>
  </si>
  <si>
    <t>傅琨鋮</t>
  </si>
  <si>
    <t>D/馬海濮大眾化</t>
  </si>
  <si>
    <t>0968716529</t>
  </si>
  <si>
    <t>機械118</t>
  </si>
  <si>
    <t>E14146252</t>
  </si>
  <si>
    <t>E126264303</t>
  </si>
  <si>
    <t>新竹縣竹北市復興三路二段106號十樓</t>
  </si>
  <si>
    <t>張嘉玲（母子）</t>
  </si>
  <si>
    <t>0939042620</t>
  </si>
  <si>
    <t xml:space="preserve">kunchengfu24@gmail.com </t>
  </si>
  <si>
    <t>非會員，僅作為單次活動使用 (每次出隊費 $50)</t>
  </si>
  <si>
    <t>淡蘭南路</t>
  </si>
  <si>
    <t>吳琇如</t>
  </si>
  <si>
    <t>https://www.facebook.com/share/19UEh2BWiS/?mibextid=wwXIfr</t>
  </si>
  <si>
    <t>0983509656</t>
  </si>
  <si>
    <t>電機116</t>
  </si>
  <si>
    <t xml:space="preserve">E24121026 </t>
  </si>
  <si>
    <t>A231279243</t>
  </si>
  <si>
    <t>台北市北投區志遠三路45號三樓</t>
  </si>
  <si>
    <t>黃燕嬌（母女）</t>
  </si>
  <si>
    <t>0939065504</t>
  </si>
  <si>
    <t>伊普芬</t>
  </si>
  <si>
    <t>https://drive.google.com/open?id=1eEiH7y3l-Zxah1wdM7i5dl8CHxrgmhPG, https://drive.google.com/open?id=1ovJSIgrqfaZZhlwR2NKDWHZ--qtZwPgs, https://drive.google.com/open?id=1fbirEdy3YsdZDEnPUsuVWvETrHNwErsV</t>
  </si>
  <si>
    <t>基本上都還是會吃啦 但不喜歡茄子苦瓜內臟</t>
  </si>
  <si>
    <t>E24121026@gs.ncku.edu.tw</t>
  </si>
  <si>
    <t>沒吧</t>
  </si>
  <si>
    <t>邱于馨</t>
  </si>
  <si>
    <t>0905274951</t>
  </si>
  <si>
    <t>E24124236</t>
  </si>
  <si>
    <t>E225614669</t>
  </si>
  <si>
    <t>高雄市三民區河北一路48號</t>
  </si>
  <si>
    <t>邱逸民（父女）</t>
  </si>
  <si>
    <t>0933003294</t>
  </si>
  <si>
    <t>玉米（但多力多滋🉑）、芋頭、米血</t>
  </si>
  <si>
    <t>Mina940601@gmail.com</t>
  </si>
  <si>
    <t>04248</t>
  </si>
  <si>
    <t>20:00 更新山下資訊</t>
  </si>
  <si>
    <t>D1</t>
  </si>
  <si>
    <t>D2</t>
  </si>
  <si>
    <t>D3</t>
  </si>
  <si>
    <t>紀錄</t>
  </si>
  <si>
    <t>19:00 回報山上決策</t>
  </si>
  <si>
    <t>預期營地</t>
  </si>
  <si>
    <t>寬稜
營地</t>
  </si>
  <si>
    <t>河灘
營地</t>
  </si>
  <si>
    <t>https://www.keepon.com.tw/thread-7b47a509-10d8-e411-93ec-000e04b74954.html</t>
  </si>
  <si>
    <t>預期訊號點</t>
  </si>
  <si>
    <t>麻煩留守的事情 完成請打勾</t>
  </si>
  <si>
    <t>https://www.keepon.com.tw/thread-9078f29d-15d8-e411-93ec-000e04b74954.html</t>
  </si>
  <si>
    <t>[傳訊]</t>
  </si>
  <si>
    <t>inreach點位連結(家人)</t>
  </si>
  <si>
    <t>https://share.garmin.com/sttsgarmin</t>
  </si>
  <si>
    <t xml:space="preserve"> </t>
  </si>
  <si>
    <t>https://tcmb.culture.tw/zh-tw/detail?indexCode=Culture_Object&amp;id=270813</t>
  </si>
  <si>
    <t>inreach管理業面(留守)
(帳密在雲端)</t>
  </si>
  <si>
    <t>https://explore.garmin.com/</t>
  </si>
  <si>
    <t>接收</t>
  </si>
  <si>
    <t>https://dl.lib.ntu.edu.tw/s/forest/item/94488#?c=&amp;m=&amp;s=&amp;cv=</t>
  </si>
  <si>
    <t>傳出</t>
  </si>
  <si>
    <t>[天氣]</t>
  </si>
  <si>
    <t>CWB 看紫外線&amp;下雨時段和氣候類型&amp;天氣概況&amp;氣溫&amp;風向</t>
  </si>
  <si>
    <t>CWB 屏東縣獅子鄉</t>
  </si>
  <si>
    <t>https://www.cwa.gov.tw/V8/C/W/Town/Town.html?TID=1001332</t>
  </si>
  <si>
    <t>CWB 台東縣達仁鄉</t>
  </si>
  <si>
    <t>https://www.cwa.gov.tw/V8/C/W/Town/Town.html?TID=1001415</t>
  </si>
  <si>
    <t>CWB 定量水預報
(現在預報2天12hr*4)</t>
  </si>
  <si>
    <t>https://www.cwa.gov.tw/V8/C/P/QPF.html</t>
  </si>
  <si>
    <t>CWB 天氣概況</t>
  </si>
  <si>
    <t>https://www.cwa.gov.tw/V8/C/W/index.html</t>
  </si>
  <si>
    <t>WINDY 看雲底高度和風向</t>
  </si>
  <si>
    <t>茶茶牙頓山</t>
  </si>
  <si>
    <t>https://www.windy.com/22.347/120.768?22.352,120.796,13</t>
  </si>
  <si>
    <t xml:space="preserve">                   </t>
  </si>
  <si>
    <t>https://www.ventusky.com/zh-tw/22.347;120.768</t>
  </si>
  <si>
    <t>[路況] 浸水營東西段、西都驕溪登山口路況</t>
  </si>
  <si>
    <t>[水] 茶茶牙頓溪/新都驕溪/西都驕溪/石壁穩定活水</t>
  </si>
  <si>
    <t>[水況] 西都驕溪、新都驕溪、大武溪新水況</t>
  </si>
  <si>
    <t>[颱風] 無</t>
  </si>
  <si>
    <t>FB 林道路況分享</t>
  </si>
  <si>
    <t>https://www.facebook.com/groups/138744813447101</t>
  </si>
  <si>
    <t>[訊] 無相關資料</t>
  </si>
  <si>
    <t>FB 登山借問站</t>
  </si>
  <si>
    <t>https://www.facebook.com/groups/1653614654914504</t>
  </si>
  <si>
    <t>備註資料</t>
  </si>
  <si>
    <t>集水區觀察員/大漢山測站</t>
  </si>
  <si>
    <t>https://wiwari.github.io/accTW/?</t>
  </si>
  <si>
    <t>https://codis.cwa.gov.tw/StationData</t>
  </si>
  <si>
    <t>中央氣象局 天氣預報圖</t>
  </si>
  <si>
    <t>https://www.cwa.gov.tw/V8/C/W/analysis.html</t>
  </si>
  <si>
    <t>國土測繪圖資服務網(112年空載光達+1/5000基本地形圖109年+魯地圖)</t>
  </si>
  <si>
    <t>https://maps.nlsc.gov.tw/T09/mapshow.action?In_type=web#</t>
  </si>
  <si>
    <t>估時</t>
  </si>
  <si>
    <t>7人</t>
  </si>
  <si>
    <t>16人</t>
  </si>
  <si>
    <t>8人</t>
  </si>
  <si>
    <t>Unknown</t>
  </si>
  <si>
    <t>正式路線</t>
  </si>
  <si>
    <t>2023/01/07
 一七去茶茶</t>
  </si>
  <si>
    <t xml:space="preserve">2021/12/31
路程遙遠的茶茶牙頓山 </t>
  </si>
  <si>
    <t>2020/12/25
二勘茶茶牙頓</t>
  </si>
  <si>
    <t>2022/2/26
茶茶牙頓山</t>
  </si>
  <si>
    <t>2022/12/31 
內麻里巴加芝來</t>
  </si>
  <si>
    <t>2017/11/30
茶茶牙頓大武未竟路線</t>
  </si>
  <si>
    <t>相簿</t>
  </si>
  <si>
    <t>D1  5/1 (0519日出 1823日落)</t>
  </si>
  <si>
    <t>成大光口</t>
  </si>
  <si>
    <t>0230</t>
  </si>
  <si>
    <t>2000</t>
  </si>
  <si>
    <t>210m(Google Map 170m)</t>
  </si>
  <si>
    <t>姑仔崙吊橋 C0</t>
  </si>
  <si>
    <t>0600</t>
  </si>
  <si>
    <t>1525</t>
  </si>
  <si>
    <t>1458</t>
  </si>
  <si>
    <t>150m</t>
  </si>
  <si>
    <t>⭡</t>
  </si>
  <si>
    <t>大武溪溪底登山口H200</t>
  </si>
  <si>
    <t>0830</t>
  </si>
  <si>
    <t>1240/1325</t>
  </si>
  <si>
    <t>1308/1349</t>
  </si>
  <si>
    <t>1428/0602</t>
  </si>
  <si>
    <t>120m</t>
  </si>
  <si>
    <t>茶茶牙頓駐在所H470</t>
  </si>
  <si>
    <t>1030/1130</t>
  </si>
  <si>
    <t>1139</t>
  </si>
  <si>
    <t>1203</t>
  </si>
  <si>
    <t>0716</t>
  </si>
  <si>
    <t>90m</t>
  </si>
  <si>
    <t>茶茶牙頓社P758</t>
  </si>
  <si>
    <t>1300</t>
  </si>
  <si>
    <t>0827</t>
  </si>
  <si>
    <t>落葉營地H716(備營)</t>
  </si>
  <si>
    <t>1430</t>
  </si>
  <si>
    <t>0920</t>
  </si>
  <si>
    <t>寬稜營地H850 C1</t>
  </si>
  <si>
    <t>1600</t>
  </si>
  <si>
    <t>D2 5/2 (0519日出 1823日落)</t>
  </si>
  <si>
    <t>P1075峰 開始探勘</t>
  </si>
  <si>
    <t>0800</t>
  </si>
  <si>
    <t>水平距離960m;垂直距離上137m下50m</t>
  </si>
  <si>
    <t>P1156峰</t>
  </si>
  <si>
    <t>0930</t>
  </si>
  <si>
    <t>水平距離1760m;垂直距離上277m下113m</t>
  </si>
  <si>
    <t>茶茶牙頓山P1325 結束探勘
接回傳統路</t>
  </si>
  <si>
    <t>1200</t>
  </si>
  <si>
    <t>⭣</t>
  </si>
  <si>
    <t>小空地營地H1143(備營)</t>
  </si>
  <si>
    <t>1230</t>
  </si>
  <si>
    <t>茶茶牙頓山鐵牌H1013</t>
  </si>
  <si>
    <t>1330</t>
  </si>
  <si>
    <t>石壁穩定水源 H520</t>
  </si>
  <si>
    <t>河灘營地H393 C2</t>
  </si>
  <si>
    <t>1700</t>
  </si>
  <si>
    <t>D3 5/3 (0519日出 1823日落)</t>
  </si>
  <si>
    <t>0700</t>
  </si>
  <si>
    <t>0815</t>
  </si>
  <si>
    <t>溪床接林道</t>
  </si>
  <si>
    <t>0836</t>
  </si>
  <si>
    <t>0849</t>
  </si>
  <si>
    <t>中間去探了外加芝來</t>
  </si>
  <si>
    <t>西都驕溪廢工寮</t>
  </si>
  <si>
    <t>1100</t>
  </si>
  <si>
    <t>西都驕溪登山口</t>
  </si>
  <si>
    <t>1400</t>
  </si>
  <si>
    <t>填寫說明：
 1.必輸入欄位:姓名、性別、出生年別、出生日期、國別、身分證號/護照號碼、電話、地址、緊急聯絡人姓名、緊急聯絡電話。
 2.性別：請輸入代號如 1:男 2:女。
 3.出生年別：請輸入代號如 1:民國 2:西元。
 4.出生日期：請依出生年別輸入。出生年別為1民國：格式為YYYMMDD，如：0901010。出生年別為2西元：格式為YYYYMMDD，如20011010。
 5.國別：請輸入代號如 1：國人 2：外國人。
 6.黃色區塊(填寫說明及標題列)不可刪除及異動！資料必須從空白處開始填寫。</t>
  </si>
  <si>
    <t>姓名</t>
  </si>
  <si>
    <t>性別</t>
  </si>
  <si>
    <t>出生年別</t>
  </si>
  <si>
    <t>出生日期</t>
  </si>
  <si>
    <t>國別</t>
  </si>
  <si>
    <t>身分證字號/
 護照號碼</t>
  </si>
  <si>
    <t>電話</t>
  </si>
  <si>
    <t>地址</t>
  </si>
  <si>
    <t>緊急聯絡人姓名</t>
  </si>
  <si>
    <t>緊急聯絡電話</t>
  </si>
  <si>
    <t>備註</t>
  </si>
  <si>
    <t>張三</t>
  </si>
  <si>
    <t>A223456789</t>
  </si>
  <si>
    <t>02-23931791</t>
  </si>
  <si>
    <t>sample@yahoo.com.tw</t>
  </si>
  <si>
    <t>台北市中正區忠孝東路一段7號</t>
  </si>
  <si>
    <t>李四</t>
  </si>
  <si>
    <t>02-23931792</t>
  </si>
  <si>
    <t>成大山協：醫藥箱借用單</t>
  </si>
  <si>
    <t>請下載填寫！！！</t>
  </si>
  <si>
    <t>20250306更新</t>
  </si>
  <si>
    <t>隊伍名稱</t>
  </si>
  <si>
    <t xml:space="preserve">茶茶牙頓出西都驕溪        </t>
  </si>
  <si>
    <t>2026/05/01-05/03</t>
  </si>
  <si>
    <t>天數</t>
  </si>
  <si>
    <t>級數 / 性質(活、勘)</t>
  </si>
  <si>
    <t>D</t>
  </si>
  <si>
    <t>勘</t>
  </si>
  <si>
    <t>最高海拔</t>
  </si>
  <si>
    <t>m</t>
  </si>
  <si>
    <t>人數</t>
  </si>
  <si>
    <t>過敏病史 (人/藥物)</t>
  </si>
  <si>
    <t>開藥負責人</t>
  </si>
  <si>
    <t>效賢</t>
  </si>
  <si>
    <t>內用藥</t>
  </si>
  <si>
    <t>每顆劑量</t>
  </si>
  <si>
    <t>用法</t>
  </si>
  <si>
    <t>數量</t>
  </si>
  <si>
    <t>用品/工具</t>
  </si>
  <si>
    <r>
      <rPr>
        <rFont val="BiauKai"/>
        <color rgb="FF000000"/>
        <sz val="10.0"/>
      </rPr>
      <t xml:space="preserve">[需求顆數參考公式]
</t>
    </r>
    <r>
      <rPr>
        <rFont val="Arial"/>
        <b/>
        <color rgb="FFFF0000"/>
        <sz val="10.0"/>
      </rPr>
      <t>公式僅供參考，依隊伍人員性質決定常用藥</t>
    </r>
    <r>
      <rPr>
        <rFont val="Arial"/>
        <color rgb="FFFF0000"/>
        <sz val="10.0"/>
      </rPr>
      <t xml:space="preserve">
</t>
    </r>
    <r>
      <rPr>
        <rFont val="Arial"/>
        <color rgb="FF000000"/>
        <sz val="10.0"/>
      </rPr>
      <t xml:space="preserve"> ▍常用藥(消炎、止痛)：
 1/4人數*1/2天數*顆/天
 ▍非常用藥：
 1/8人數*1/2天數*顆/天
 ▍藥物過敏：
 *</t>
    </r>
    <r>
      <rPr>
        <rFont val="Arial"/>
        <color rgb="FFFF0000"/>
        <sz val="10.0"/>
      </rPr>
      <t xml:space="preserve">為蠶豆症禁用或有疑慮的藥物，請謹慎使用
 </t>
    </r>
    <r>
      <rPr>
        <rFont val="Arial"/>
        <color rgb="FF000000"/>
        <sz val="10.0"/>
      </rPr>
      <t>¶</t>
    </r>
    <r>
      <rPr>
        <rFont val="Arial"/>
        <color rgb="FFFF0000"/>
        <sz val="10.0"/>
      </rPr>
      <t xml:space="preserve">為磺胺類藥物過敏者禁用或有疑慮的藥物，請謹慎使用
</t>
    </r>
    <r>
      <rPr>
        <rFont val="Arial"/>
        <color rgb="FF000000"/>
        <sz val="10.0"/>
      </rPr>
      <t>免責聲明：以上標記僅供參考，無標示的藥物不代表不會發生藥物過敏，曾有藥物過敏史的患者請洽尋醫師或攜帶個人醫藥包</t>
    </r>
    <r>
      <rPr>
        <rFont val="Arial"/>
        <color rgb="FFFF0000"/>
        <sz val="10.0"/>
      </rPr>
      <t xml:space="preserve">
</t>
    </r>
    <r>
      <rPr>
        <rFont val="Arial"/>
        <color rgb="FF000000"/>
        <sz val="10.0"/>
      </rPr>
      <t xml:space="preserve">
 [借用規範]
 • 借用單命名方式：
</t>
    </r>
    <r>
      <rPr>
        <rFont val="Arial"/>
        <b/>
        <color rgb="FFFF0000"/>
        <sz val="10.0"/>
      </rPr>
      <t xml:space="preserve"> 　 隊伍名稱_日期_人數_借用者
</t>
    </r>
    <r>
      <rPr>
        <rFont val="Arial"/>
        <color rgb="FF000000"/>
        <sz val="10.0"/>
      </rPr>
      <t xml:space="preserve"> • 出隊前的一週前提出申請
 • 下山後一週內歸還醫藥箱
 [租借費用]
</t>
    </r>
    <r>
      <rPr>
        <rFont val="Arial"/>
        <b/>
        <color rgb="FF000000"/>
        <sz val="10.0"/>
      </rPr>
      <t xml:space="preserve"> ▍社內隊
 A級：50 / 人
 B級：30 / 人
</t>
    </r>
    <r>
      <rPr>
        <rFont val="Arial"/>
        <color rgb="FF000000"/>
        <sz val="10.0"/>
      </rPr>
      <t xml:space="preserve"> C,D：不收費
</t>
    </r>
    <r>
      <rPr>
        <rFont val="Arial"/>
        <b/>
        <color rgb="FF000000"/>
        <sz val="10.0"/>
      </rPr>
      <t xml:space="preserve"> ▍社外隊
 A：100 / 人
 B,C,D：50 / 人
</t>
    </r>
    <r>
      <rPr>
        <rFont val="Arial"/>
        <color rgb="FF000000"/>
        <sz val="10.0"/>
      </rPr>
      <t xml:space="preserve"> 
 [諮詢電話] 
</t>
    </r>
    <r>
      <rPr>
        <rFont val="Arial"/>
        <b/>
        <color rgb="FF000000"/>
        <sz val="10.0"/>
      </rPr>
      <t xml:space="preserve"> +1-720-485-1393 Dr.王士豪</t>
    </r>
    <r>
      <rPr>
        <rFont val="Arial"/>
        <color rgb="FF000000"/>
        <sz val="10.0"/>
      </rPr>
      <t xml:space="preserve">
 衛星電話可直撥，手機請加002或009直撥</t>
    </r>
  </si>
  <si>
    <t>Acetaminophen
 (止痛劑)</t>
  </si>
  <si>
    <t>500mg</t>
  </si>
  <si>
    <t>每4~6小時1顆(500mg/6hr)</t>
  </si>
  <si>
    <t>2*2紗布 /包</t>
  </si>
  <si>
    <r>
      <rPr>
        <rFont val="BiauKai"/>
        <color theme="1"/>
        <sz val="12.0"/>
      </rPr>
      <t>Celecoxib*¶</t>
    </r>
    <r>
      <rPr>
        <rFont val="Arial"/>
        <color theme="1"/>
        <sz val="12.0"/>
      </rPr>
      <t xml:space="preserve"> (消炎劑)</t>
    </r>
  </si>
  <si>
    <t>200mg</t>
  </si>
  <si>
    <t>第一次2顆，可追加一顆；第二天開始每12小時1顆(200mg/12hr)</t>
  </si>
  <si>
    <t>4*4紗布 /包</t>
  </si>
  <si>
    <t>Loperamide
 (止瀉劑)</t>
  </si>
  <si>
    <t>2mg</t>
  </si>
  <si>
    <t>第一次2顆(4mg)，之後每次腹瀉後追加1顆(2mg)</t>
  </si>
  <si>
    <t>彈性繃帶 /捲</t>
  </si>
  <si>
    <t>Famotidine FC (制酸劑)</t>
  </si>
  <si>
    <t>20mg</t>
  </si>
  <si>
    <t>每12小時1顆(20mg/12hr)</t>
  </si>
  <si>
    <t>OK繃大 /片</t>
  </si>
  <si>
    <t>Loratadine (抗組織胺)</t>
  </si>
  <si>
    <t>10mg</t>
  </si>
  <si>
    <t>每天1顆(10mg/24hr)</t>
  </si>
  <si>
    <t>OK繃小 /片</t>
  </si>
  <si>
    <t>Augmentin (抗生素)</t>
  </si>
  <si>
    <t>1000mg</t>
  </si>
  <si>
    <t>每12小時1顆(1000mg/12hr)</t>
  </si>
  <si>
    <t>防水OK繃大 /片</t>
  </si>
  <si>
    <t>Acetazolamide*¶
 (丹木斯)</t>
  </si>
  <si>
    <t>250mg</t>
  </si>
  <si>
    <t>(預防125mg/12hr。)
每12小時1~2顆(250~500mg/12hr)</t>
  </si>
  <si>
    <t>防水OK繃小 /片</t>
  </si>
  <si>
    <t>Nifedipine OROS (鈣離子阻斷劑)</t>
  </si>
  <si>
    <t>30mg</t>
  </si>
  <si>
    <t>每12小時1顆(30mg/12hr)</t>
  </si>
  <si>
    <t>透氣膠帶 /捲</t>
  </si>
  <si>
    <t>Dexamethasone (類固醇)</t>
  </si>
  <si>
    <t>0.5mg</t>
  </si>
  <si>
    <t>高山腦水腫:第一次8mg，之後4mg/6h (8mg：16顆口服或2瓶針劑；
4mg：8顆口服或1瓶針劑)
過敏性休克，經腎上腺素注射後：6-9mg/天，持續1-2天</t>
  </si>
  <si>
    <t>防水透氣敷料 /片</t>
  </si>
  <si>
    <t>Dexamethasone
 (類固醇針劑)</t>
  </si>
  <si>
    <t>2.2mL/瓶</t>
  </si>
  <si>
    <t>酒精棉片 /片</t>
  </si>
  <si>
    <t>棉棒 /根</t>
  </si>
  <si>
    <t>Epinephrine
 (腎上腺素針劑)</t>
  </si>
  <si>
    <t>1 mL/瓶</t>
  </si>
  <si>
    <t>肌肉注射0.01mL/kg，每劑最多不超過0.5mL，每10~15分鐘一劑直到症狀緩解
(1瓶=1.0mL；共含1.0mg劑量)</t>
  </si>
  <si>
    <t xml:space="preserve">針筒 2mL/1mL </t>
  </si>
  <si>
    <t>外用藥</t>
  </si>
  <si>
    <t>溫度計 /支</t>
  </si>
  <si>
    <t>燙膚舒乳膏*</t>
  </si>
  <si>
    <t>\</t>
  </si>
  <si>
    <t>預防、治療細菌感染(大面積、深傷口；長程隊使用)</t>
  </si>
  <si>
    <t>鎳子 /把</t>
  </si>
  <si>
    <t>四環黴素 (眼藥膏)</t>
  </si>
  <si>
    <t>預防、治療細菌感染</t>
  </si>
  <si>
    <t>剪刀 /把</t>
  </si>
  <si>
    <t>強力施美* (抗組織胺)</t>
  </si>
  <si>
    <t>皮膚搔癢、蕁麻疹、蚊蟲叮咬</t>
  </si>
  <si>
    <t>Med 107 黃昱瑋 [三]
CE  108 陳彥丰 [狼]
MSE 109 沈豊淳 [星]
FLL 109 曾薈芯 [狼]
Med 116 嚴凱易 [狼]</t>
  </si>
  <si>
    <t>非炎*¶ (消炎劑)</t>
  </si>
  <si>
    <t>緩解肌肉發炎 (扭傷、骨折)</t>
  </si>
  <si>
    <t xml:space="preserve">優碘 </t>
  </si>
  <si>
    <t>傷口消毒殺菌</t>
  </si>
  <si>
    <t>隊伍天數、級數</t>
  </si>
  <si>
    <t>3D勘</t>
  </si>
  <si>
    <t>大廚</t>
  </si>
  <si>
    <t>備註(討厭吃)</t>
  </si>
  <si>
    <t>榴槤 納豆 芋頭 香菜香菜香菜 甲殼類海鮮過敏（蝦子、螃蟹） 午餐肉 豆製品 一切蕈類 各種肉、海鮮、茄子、秋葵、桂圓、芝麻、韭菜、青椒、洋蔥、牛奶被單獨出現、胡蘿蔔、苦瓜、芹菜、蔥薑蒜、香菜、紅棗  不吃辣 玉米（但多力多滋🉑）、米血</t>
  </si>
  <si>
    <t>總開銷</t>
  </si>
  <si>
    <t>給腦袋風暴的地方</t>
  </si>
  <si>
    <t>1. 價格預算 數量克數 處理食材（烘乾 油封 先煮過 先洗過 先切過）營養均衡（蛋白質&amp;澱粉…) 熱量 重量 大家的喜好過敏禁忌 好不好吃 食材腐敗問題 調味料們 器皿使用（如果要帶煎鍋必須得好好利用）
2. 在山下先想好料理順序：清理鍋子（辣炒年糕先再豆腐煲…）食材份量（好hardcore) 瓦斯 水 烹飪時間掌控</t>
  </si>
  <si>
    <t>要記得帶</t>
  </si>
  <si>
    <r>
      <rPr>
        <rFont val="DFKai-SB"/>
        <b/>
        <color theme="1"/>
        <sz val="13.0"/>
      </rPr>
      <t>最後公裝清點</t>
    </r>
    <r>
      <rPr>
        <rFont val="DFKai-SB"/>
        <color theme="1"/>
        <sz val="13.0"/>
      </rPr>
      <t xml:space="preserve">：鍋子、瓢、瓦斯、爐頭、瓦斯、公水大家要多少
</t>
    </r>
    <r>
      <rPr>
        <rFont val="DFKai-SB"/>
        <b/>
        <color theme="1"/>
        <sz val="13.0"/>
      </rPr>
      <t>最後私裝清點</t>
    </r>
    <r>
      <rPr>
        <rFont val="DFKai-SB"/>
        <color theme="1"/>
        <sz val="13.0"/>
      </rPr>
      <t>：鋁箔或鍋蓋、打火機、鋼杯餐具、廚房紙巾、大垃圾袋、醬料包、晚餐食材、宵夜食材（烤火食材）、早餐食材、粉包、砧板
山下處理方式 &amp; 山上處理方式</t>
    </r>
  </si>
  <si>
    <t>營地</t>
  </si>
  <si>
    <t>餐餉</t>
  </si>
  <si>
    <t>餐點</t>
  </si>
  <si>
    <t>澱粉</t>
  </si>
  <si>
    <t>蛋豆魚肉</t>
  </si>
  <si>
    <t>蔬菜纖維</t>
  </si>
  <si>
    <t>水分飲品</t>
  </si>
  <si>
    <t>調味料</t>
  </si>
  <si>
    <r>
      <rPr>
        <rFont val="DFKai-SB"/>
        <b/>
        <color theme="1"/>
        <sz val="12.0"/>
      </rPr>
      <t xml:space="preserve">C1
</t>
    </r>
    <r>
      <rPr>
        <rFont val="DFKai-SB"/>
        <b/>
        <color rgb="FF9900FF"/>
        <sz val="12.0"/>
      </rPr>
      <t>大廚：邱于馨
二廚：陳莉臻</t>
    </r>
  </si>
  <si>
    <t>晚</t>
  </si>
  <si>
    <t>牛肋南瓜飯</t>
  </si>
  <si>
    <t>白飯、南瓜</t>
  </si>
  <si>
    <t>牛肋條、醉雞</t>
  </si>
  <si>
    <t>高麗菜、花椰菜、玉米筍</t>
  </si>
  <si>
    <t>2升</t>
  </si>
  <si>
    <t>鰹魚粉、印度咖哩</t>
  </si>
  <si>
    <t>味噌豆腐湯</t>
  </si>
  <si>
    <t>板豆腐</t>
  </si>
  <si>
    <t>海帶芽</t>
  </si>
  <si>
    <t>味增</t>
  </si>
  <si>
    <t>宵</t>
  </si>
  <si>
    <t>紅豆湯圓</t>
  </si>
  <si>
    <t>湯圓</t>
  </si>
  <si>
    <t>紅豆泥</t>
  </si>
  <si>
    <t>香腸、杏鮑菇</t>
  </si>
  <si>
    <t>早</t>
  </si>
  <si>
    <t>羅勒乳酪麵包</t>
  </si>
  <si>
    <t>麵包</t>
  </si>
  <si>
    <t>培根</t>
  </si>
  <si>
    <t>奶茶</t>
  </si>
  <si>
    <r>
      <rPr>
        <rFont val="DFKai-SB"/>
        <b/>
        <color theme="1"/>
        <sz val="12.0"/>
      </rPr>
      <t xml:space="preserve">C2
</t>
    </r>
    <r>
      <rPr>
        <rFont val="DFKai-SB"/>
        <b/>
        <color rgb="FFFF9900"/>
        <sz val="12.0"/>
      </rPr>
      <t>大廚：張庭萱
二廚：李思誼</t>
    </r>
  </si>
  <si>
    <t>Pho</t>
  </si>
  <si>
    <t>麵</t>
  </si>
  <si>
    <t>豬肉片</t>
  </si>
  <si>
    <t>青江菜、豆芽菜</t>
  </si>
  <si>
    <t>玉米濃湯</t>
  </si>
  <si>
    <t>蛋</t>
  </si>
  <si>
    <t>綠茶凍奶茶</t>
  </si>
  <si>
    <t>奶</t>
  </si>
  <si>
    <t>明太子起士黃瓜馬鈴薯吐司</t>
  </si>
  <si>
    <t>吐司</t>
  </si>
  <si>
    <t>起士明太子</t>
  </si>
  <si>
    <t>黃瓜</t>
  </si>
  <si>
    <t>美祿</t>
  </si>
  <si>
    <t>骨頭 韌帶(只會一瞬間的事情) 肌腱(會慢慢累積然後爆炸)</t>
  </si>
  <si>
    <t>預防/評估/治療/復健：了解復健才能知道怎麼預防</t>
  </si>
  <si>
    <t>預防：熱身放鬆&amp;肌力補強適度訓練(核心 小肌群補強)&amp;正確動作與護具</t>
  </si>
  <si>
    <t>BAD：過度訓練、錯誤姿勢、不合適的用具和護具、肌力不平衡</t>
  </si>
  <si>
    <t>常見骨骼肌傷害：拉傷、鐵腿(延遲性肌肉痠痛)、肌鍵炎或肌鍵病變</t>
  </si>
  <si>
    <t>抽筋和拉傷的差別：肌肉疲勞或電解質失衡或中樞神經疲勞 恢復較快V.S 肌肉纖維撕裂可能伴隨瘀青 恢復較慢一定要復健</t>
  </si>
  <si>
    <t>上肢：前上肩關節唇損傷(SLAP)、脫臼、網球軸</t>
  </si>
  <si>
    <t>下肢：前十字韌帶斷裂、踝關節扭傷、應力性骨折</t>
  </si>
  <si>
    <t>脊柱：椎間盤突出、脊椎側彎、閃到腰</t>
  </si>
  <si>
    <t>前十字韌帶斷裂、半月板傷害(翻船)</t>
  </si>
  <si>
    <t>外側踝扭傷(翻船)、高位扭傷、跟腱病變(阿基里斯腱)、足底筋膜炎(按摩球按足弓 小腿或痠的地方15秒痛 發炎的地方不要按)</t>
  </si>
  <si>
    <t>熱傷害 熱痙攣 熱衰竭 熱中暑(移至陰涼處抬高雙腳不要強行補水)注意尿尿顏色</t>
  </si>
  <si>
    <t>局部凍傷 輕度失溫 嚴重失溫 意識不清</t>
  </si>
  <si>
    <t>抬高患肢^避免腫脹 避免使用消炎類藥物</t>
  </si>
  <si>
    <t>促進血液循環^不一定冰敷 痛到受不了</t>
  </si>
  <si>
    <t>壓迫^彈繃 前十字韌帶斷裂 蝸牛拿法 弓箭步 由下往上 繞過併骨 露出併骨 不能纏太久不要纏太大力 血液循環(太脹)</t>
  </si>
  <si>
    <t xml:space="preserve">半月板 肌貼 白貼 /前十字韌帶斷裂 彈繃(限制活動 固定) </t>
  </si>
  <si>
    <t>外側踝扭傷 一律從內側開始包 八字包法6+8 睡覺的時候包著控制腫脹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</si>
</sst>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/d"/>
    <numFmt numFmtId="165" formatCode="am/pm h:mm"/>
    <numFmt numFmtId="166" formatCode="m/d/yyyy h:mm:ss"/>
    <numFmt numFmtId="167" formatCode="m/d"/>
    <numFmt numFmtId="168" formatCode="0.0"/>
  </numFmts>
  <fonts count="65">
    <font>
      <sz val="12.0"/>
      <color theme="1"/>
      <name val="Calibri"/>
      <scheme val="minor"/>
    </font>
    <font>
      <sz val="12.0"/>
      <color theme="1"/>
      <name val="DFKai-SB"/>
    </font>
    <font>
      <sz val="7.0"/>
      <color rgb="FF000000"/>
      <name val="DFKai-SB"/>
    </font>
    <font/>
    <font>
      <sz val="22.0"/>
      <color theme="1"/>
      <name val="DFKai-SB"/>
    </font>
    <font>
      <sz val="12.0"/>
      <color rgb="FF000000"/>
      <name val="DFKai-SB"/>
    </font>
    <font>
      <sz val="12.0"/>
      <color theme="1"/>
      <name val="Calibri"/>
    </font>
    <font>
      <sz val="12.0"/>
      <color rgb="FF4472C4"/>
      <name val="DFKai-SB"/>
    </font>
    <font>
      <sz val="8.0"/>
      <color rgb="FF000000"/>
      <name val="DFKai-SB"/>
    </font>
    <font>
      <sz val="9.0"/>
      <color theme="1"/>
      <name val="DFKai-SB"/>
    </font>
    <font>
      <color theme="1"/>
      <name val="Calibri"/>
    </font>
    <font>
      <u/>
      <sz val="12.0"/>
      <color rgb="FF0563C1"/>
      <name val="DFKai-SB"/>
    </font>
    <font>
      <sz val="9.0"/>
      <color rgb="FF000000"/>
      <name val="DFKai-SB"/>
    </font>
    <font>
      <sz val="11.0"/>
      <color theme="1"/>
      <name val="DFKai-SB"/>
    </font>
    <font>
      <color theme="1"/>
      <name val="DFKai-SB"/>
    </font>
    <font>
      <sz val="13.0"/>
      <color theme="1"/>
      <name val="Calibri"/>
    </font>
    <font>
      <b/>
      <color theme="1"/>
      <name val="Calibri"/>
    </font>
    <font>
      <sz val="12.0"/>
      <color theme="1"/>
      <name val="Arial"/>
    </font>
    <font>
      <b/>
      <sz val="12.0"/>
      <color theme="1"/>
      <name val="Arial"/>
    </font>
    <font>
      <u/>
      <sz val="12.0"/>
      <color rgb="FF1155CC"/>
      <name val="Arial"/>
    </font>
    <font>
      <color theme="1"/>
      <name val="Arial"/>
    </font>
    <font>
      <u/>
      <color rgb="FF1155CC"/>
      <name val="Arial"/>
    </font>
    <font>
      <u/>
      <sz val="12.0"/>
      <color rgb="FF1155CC"/>
      <name val="Arial"/>
    </font>
    <font>
      <b/>
      <sz val="12.0"/>
      <color theme="1"/>
      <name val="Zen Old Mincho"/>
    </font>
    <font>
      <b/>
      <sz val="11.0"/>
      <color theme="1"/>
      <name val="Zen Old Mincho"/>
    </font>
    <font>
      <sz val="11.0"/>
      <color theme="1"/>
      <name val="Zen Old Mincho"/>
    </font>
    <font>
      <sz val="12.0"/>
      <color theme="1"/>
      <name val="Zen Old Mincho"/>
    </font>
    <font>
      <u/>
      <sz val="11.0"/>
      <color rgb="FF0563C1"/>
      <name val="Zen Old Mincho"/>
    </font>
    <font>
      <b/>
      <sz val="23.0"/>
      <color theme="1"/>
      <name val="Zen Old Mincho"/>
    </font>
    <font>
      <u/>
      <sz val="12.0"/>
      <color rgb="FF0563C1"/>
      <name val="Zen Old Mincho"/>
    </font>
    <font>
      <sz val="9.0"/>
      <color theme="1"/>
      <name val="Zen Old Mincho"/>
    </font>
    <font>
      <u/>
      <sz val="11.0"/>
      <color rgb="FF0000FF"/>
      <name val="Zen Old Mincho"/>
    </font>
    <font>
      <u/>
      <sz val="12.0"/>
      <color rgb="FF0563C1"/>
      <name val="Zen Old Mincho"/>
    </font>
    <font>
      <u/>
      <sz val="12.0"/>
      <color rgb="FF0000FF"/>
      <name val="Zen Old Mincho"/>
    </font>
    <font>
      <u/>
      <sz val="12.0"/>
      <color rgb="FF0563C1"/>
      <name val="Zen Old Mincho"/>
    </font>
    <font>
      <u/>
      <sz val="12.0"/>
      <color rgb="FF0563C1"/>
      <name val="Zen Old Mincho"/>
    </font>
    <font>
      <u/>
      <sz val="12.0"/>
      <color rgb="FF0563C1"/>
      <name val="Zen Old Mincho"/>
    </font>
    <font>
      <u/>
      <sz val="12.0"/>
      <color rgb="FF0000FF"/>
      <name val="Zen Old Mincho"/>
    </font>
    <font>
      <u/>
      <sz val="12.0"/>
      <color rgb="FF1155CC"/>
      <name val="Zen Old Mincho"/>
    </font>
    <font>
      <u/>
      <sz val="12.0"/>
      <color rgb="FF0000FF"/>
      <name val="Zen Old Mincho"/>
    </font>
    <font>
      <color theme="1"/>
      <name val="Zen Old Mincho"/>
    </font>
    <font>
      <sz val="12.0"/>
      <color theme="1"/>
      <name val="Microsoft JhengHei"/>
    </font>
    <font>
      <u/>
      <sz val="12.0"/>
      <color rgb="FF0000FF"/>
      <name val="Microsoft JhengHei"/>
    </font>
    <font>
      <sz val="10.0"/>
      <color theme="1"/>
      <name val="Arial"/>
    </font>
    <font>
      <b/>
      <sz val="12.0"/>
      <color rgb="FF000000"/>
      <name val="PMingLiu"/>
    </font>
    <font>
      <sz val="12.0"/>
      <color rgb="FF000000"/>
      <name val="PMingLiu"/>
    </font>
    <font>
      <sz val="10.0"/>
      <color rgb="FF000000"/>
      <name val="Arial"/>
    </font>
    <font>
      <sz val="24.0"/>
      <color theme="1"/>
      <name val="Arial"/>
    </font>
    <font>
      <b/>
      <sz val="24.0"/>
      <color rgb="FF000000"/>
      <name val="BiauKai"/>
    </font>
    <font>
      <sz val="24.0"/>
      <color rgb="FF000000"/>
      <name val="Arial"/>
    </font>
    <font>
      <sz val="24.0"/>
      <color rgb="FF000000"/>
      <name val="BiauKai"/>
    </font>
    <font>
      <b/>
      <sz val="24.0"/>
      <color rgb="FFFF0000"/>
      <name val="BiauKai"/>
    </font>
    <font>
      <sz val="24.0"/>
      <color rgb="FFFF0000"/>
      <name val="BiauKai"/>
    </font>
    <font>
      <sz val="12.0"/>
      <color rgb="FF000000"/>
      <name val="BiauKai"/>
    </font>
    <font>
      <sz val="12.0"/>
      <color theme="1"/>
      <name val="BiauKai"/>
    </font>
    <font>
      <b/>
      <sz val="12.0"/>
      <color theme="1"/>
      <name val="BiauKai"/>
    </font>
    <font>
      <sz val="12.0"/>
      <color rgb="FFFFFFFF"/>
      <name val="BiauKai"/>
    </font>
    <font>
      <sz val="10.0"/>
      <color rgb="FF000000"/>
      <name val="BiauKai"/>
    </font>
    <font>
      <sz val="12.0"/>
      <color rgb="FFB7B7B7"/>
      <name val="BiauKai"/>
    </font>
    <font>
      <sz val="12.0"/>
      <color rgb="FFD9D9D9"/>
      <name val="BiauKai"/>
    </font>
    <font>
      <sz val="8.0"/>
      <color rgb="FF000000"/>
      <name val="BiauKai"/>
    </font>
    <font>
      <sz val="10.0"/>
      <color rgb="FF000000"/>
      <name val="MingLiu"/>
    </font>
    <font>
      <sz val="24.0"/>
      <color theme="1"/>
      <name val="DFKai-SB"/>
    </font>
    <font>
      <b/>
      <sz val="12.0"/>
      <color theme="1"/>
      <name val="DFKai-SB"/>
    </font>
    <font>
      <sz val="13.0"/>
      <color theme="1"/>
      <name val="DFKai-SB"/>
    </font>
  </fonts>
  <fills count="21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10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</border>
    <border>
      <right style="medium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medium">
        <color rgb="FF000000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/>
      <top/>
      <bottom/>
    </border>
    <border>
      <left style="medium">
        <color rgb="FF000000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 style="thin">
        <color rgb="FFD8D8D8"/>
      </left>
      <top style="thin">
        <color rgb="FFD8D8D8"/>
      </top>
      <bottom style="medium">
        <color rgb="FF000000"/>
      </bottom>
    </border>
    <border>
      <top style="thin">
        <color rgb="FFD8D8D8"/>
      </top>
      <bottom style="medium">
        <color rgb="FF000000"/>
      </bottom>
    </border>
    <border>
      <right style="thin">
        <color rgb="FFD8D8D8"/>
      </right>
      <top style="thin">
        <color rgb="FFD8D8D8"/>
      </top>
      <bottom style="medium">
        <color rgb="FF000000"/>
      </bottom>
    </border>
    <border>
      <left style="medium">
        <color rgb="FF000000"/>
      </left>
      <right style="thin">
        <color rgb="FFD8D8D8"/>
      </right>
      <top style="medium">
        <color rgb="FF000000"/>
      </top>
      <bottom style="thin">
        <color rgb="FFD8D8D8"/>
      </bottom>
    </border>
    <border>
      <left style="thin">
        <color rgb="FFD8D8D8"/>
      </left>
      <top style="medium">
        <color rgb="FF000000"/>
      </top>
      <bottom style="thin">
        <color rgb="FFD8D8D8"/>
      </bottom>
    </border>
    <border>
      <right style="thin">
        <color rgb="FFD8D8D8"/>
      </right>
      <top style="medium">
        <color rgb="FF00000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medium">
        <color rgb="FF000000"/>
      </top>
      <bottom style="thin">
        <color rgb="FFD8D8D8"/>
      </bottom>
    </border>
    <border>
      <top style="medium">
        <color rgb="FF000000"/>
      </top>
      <bottom style="thin">
        <color rgb="FFD8D8D8"/>
      </bottom>
    </border>
    <border>
      <right style="medium">
        <color rgb="FF000000"/>
      </right>
      <top style="medium">
        <color rgb="FF000000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right style="medium">
        <color rgb="FF000000"/>
      </right>
      <top style="thin">
        <color rgb="FFD8D8D8"/>
      </top>
      <bottom style="thin">
        <color rgb="FFD8D8D8"/>
      </bottom>
    </border>
    <border>
      <left style="medium">
        <color rgb="FF000000"/>
      </left>
      <right style="thin">
        <color rgb="FFD8D8D8"/>
      </right>
      <top style="thin">
        <color rgb="FFD8D8D8"/>
      </top>
      <bottom style="medium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000000"/>
      </bottom>
    </border>
    <border>
      <right style="medium">
        <color rgb="FF000000"/>
      </right>
      <top style="thin">
        <color rgb="FFD8D8D8"/>
      </top>
      <bottom style="medium">
        <color rgb="FF000000"/>
      </bottom>
    </border>
    <border>
      <left style="medium">
        <color rgb="FF000000"/>
      </left>
      <right style="thin">
        <color rgb="FFD8D8D8"/>
      </right>
    </border>
    <border>
      <left style="thin">
        <color rgb="FFD8D8D8"/>
      </left>
      <right style="thin">
        <color rgb="FFD8D8D8"/>
      </right>
    </border>
    <border>
      <left style="thin">
        <color rgb="FFD8D8D8"/>
      </left>
      <right style="medium">
        <color rgb="FF000000"/>
      </right>
      <top style="medium">
        <color rgb="FF000000"/>
      </top>
      <bottom style="thin">
        <color rgb="FFD8D8D8"/>
      </bottom>
    </border>
    <border>
      <left style="thin">
        <color rgb="FFD8D8D8"/>
      </left>
      <right/>
      <top style="medium">
        <color rgb="FF000000"/>
      </top>
      <bottom style="thin">
        <color rgb="FFD8D8D8"/>
      </bottom>
    </border>
    <border>
      <left style="thin">
        <color rgb="FFD8D8D8"/>
      </left>
      <right style="medium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 style="medium">
        <color rgb="FF000000"/>
      </left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medium">
        <color rgb="FF000000"/>
      </left>
      <right style="thin">
        <color rgb="FFD8D8D8"/>
      </right>
      <top style="thin">
        <color rgb="FFD8D8D8"/>
      </top>
    </border>
    <border>
      <left style="thin">
        <color rgb="FFD8D8D8"/>
      </left>
      <right style="medium">
        <color rgb="FF000000"/>
      </right>
      <top style="thin">
        <color rgb="FFD8D8D8"/>
      </top>
    </border>
    <border>
      <left style="medium">
        <color rgb="FF000000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medium">
        <color rgb="FF000000"/>
      </right>
      <bottom style="thin">
        <color rgb="FFD8D8D8"/>
      </bottom>
    </border>
    <border>
      <left style="thin">
        <color rgb="FFD8D8D8"/>
      </left>
      <right style="medium">
        <color rgb="FF000000"/>
      </right>
      <top style="thin">
        <color rgb="FFD8D8D8"/>
      </top>
      <bottom style="medium">
        <color rgb="FF000000"/>
      </bottom>
    </border>
    <border>
      <left style="thin">
        <color rgb="FFD8D8D8"/>
      </left>
      <right/>
      <top style="thin">
        <color rgb="FFD8D8D8"/>
      </top>
      <bottom style="medium">
        <color rgb="FF000000"/>
      </bottom>
    </border>
    <border>
      <left/>
      <top/>
    </border>
    <border>
      <top/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8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6" fillId="0" fontId="1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vertical="center"/>
    </xf>
    <xf borderId="9" fillId="0" fontId="1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vertical="center"/>
    </xf>
    <xf borderId="11" fillId="2" fontId="5" numFmtId="0" xfId="0" applyAlignment="1" applyBorder="1" applyFill="1" applyFont="1">
      <alignment horizontal="left" shrinkToFit="0" vertical="center" wrapText="1"/>
    </xf>
    <xf borderId="12" fillId="2" fontId="5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8" fillId="0" fontId="5" numFmtId="0" xfId="0" applyAlignment="1" applyBorder="1" applyFont="1">
      <alignment horizontal="left" shrinkToFit="0" vertical="center" wrapText="1"/>
    </xf>
    <xf borderId="14" fillId="3" fontId="5" numFmtId="0" xfId="0" applyAlignment="1" applyBorder="1" applyFill="1" applyFont="1">
      <alignment horizontal="center" vertical="center"/>
    </xf>
    <xf borderId="15" fillId="0" fontId="5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vertical="center"/>
    </xf>
    <xf borderId="17" fillId="0" fontId="5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vertical="center"/>
    </xf>
    <xf borderId="9" fillId="0" fontId="5" numFmtId="0" xfId="0" applyAlignment="1" applyBorder="1" applyFont="1">
      <alignment horizontal="left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13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quotePrefix="1" borderId="1" fillId="0" fontId="1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vertical="center"/>
    </xf>
    <xf borderId="28" fillId="0" fontId="3" numFmtId="0" xfId="0" applyAlignment="1" applyBorder="1" applyFont="1">
      <alignment vertical="center"/>
    </xf>
    <xf borderId="29" fillId="0" fontId="1" numFmtId="0" xfId="0" applyAlignment="1" applyBorder="1" applyFont="1">
      <alignment horizontal="center" shrinkToFit="0" vertical="center" wrapText="1"/>
    </xf>
    <xf quotePrefix="1" borderId="10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30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32" fillId="0" fontId="1" numFmtId="0" xfId="0" applyAlignment="1" applyBorder="1" applyFont="1">
      <alignment horizontal="left" shrinkToFit="0" vertical="center" wrapText="1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1" numFmtId="0" xfId="0" applyAlignment="1" applyBorder="1" applyFont="1">
      <alignment horizontal="center" shrinkToFit="0" vertical="center" wrapText="1"/>
    </xf>
    <xf quotePrefix="1" borderId="9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shrinkToFit="0" vertical="center" wrapText="1"/>
    </xf>
    <xf borderId="38" fillId="0" fontId="3" numFmtId="0" xfId="0" applyAlignment="1" applyBorder="1" applyFont="1">
      <alignment vertical="center"/>
    </xf>
    <xf borderId="31" fillId="0" fontId="6" numFmtId="0" xfId="0" applyAlignment="1" applyBorder="1" applyFont="1">
      <alignment horizontal="center" vertical="center"/>
    </xf>
    <xf borderId="7" fillId="0" fontId="1" numFmtId="164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shrinkToFit="0" vertical="center" wrapText="1"/>
    </xf>
    <xf borderId="39" fillId="0" fontId="3" numFmtId="0" xfId="0" applyAlignment="1" applyBorder="1" applyFont="1">
      <alignment vertical="center"/>
    </xf>
    <xf borderId="31" fillId="0" fontId="1" numFmtId="0" xfId="0" applyAlignment="1" applyBorder="1" applyFont="1">
      <alignment horizontal="center" shrinkToFit="0" vertical="center" wrapText="1"/>
    </xf>
    <xf borderId="35" fillId="0" fontId="7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vertical="center"/>
    </xf>
    <xf borderId="42" fillId="0" fontId="3" numFmtId="0" xfId="0" applyAlignment="1" applyBorder="1" applyFont="1">
      <alignment vertical="center"/>
    </xf>
    <xf borderId="0" fillId="3" fontId="5" numFmtId="0" xfId="0" applyAlignment="1" applyFont="1">
      <alignment horizontal="center" shrinkToFit="0" vertical="center" wrapText="1"/>
    </xf>
    <xf borderId="43" fillId="2" fontId="5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44" fillId="0" fontId="9" numFmtId="0" xfId="0" applyAlignment="1" applyBorder="1" applyFont="1">
      <alignment horizontal="center" shrinkToFit="0" vertical="center" wrapText="1"/>
    </xf>
    <xf borderId="45" fillId="3" fontId="9" numFmtId="0" xfId="0" applyAlignment="1" applyBorder="1" applyFont="1">
      <alignment horizontal="center" vertical="center"/>
    </xf>
    <xf borderId="46" fillId="0" fontId="3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47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vertical="center"/>
    </xf>
    <xf borderId="48" fillId="0" fontId="3" numFmtId="0" xfId="0" applyAlignment="1" applyBorder="1" applyFont="1">
      <alignment vertical="center"/>
    </xf>
    <xf borderId="49" fillId="0" fontId="3" numFmtId="0" xfId="0" applyAlignment="1" applyBorder="1" applyFont="1">
      <alignment vertical="center"/>
    </xf>
    <xf borderId="50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center" shrinkToFit="0" vertical="center" wrapText="1"/>
    </xf>
    <xf borderId="51" fillId="0" fontId="9" numFmtId="0" xfId="0" applyAlignment="1" applyBorder="1" applyFont="1">
      <alignment horizontal="center" shrinkToFit="0" vertical="center" wrapText="1"/>
    </xf>
    <xf quotePrefix="1" borderId="0" fillId="0" fontId="9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2" fillId="0" fontId="1" numFmtId="0" xfId="0" applyAlignment="1" applyBorder="1" applyFont="1">
      <alignment horizontal="center" shrinkToFit="0" vertical="center" wrapText="1"/>
    </xf>
    <xf borderId="0" fillId="0" fontId="9" numFmtId="165" xfId="0" applyAlignment="1" applyFont="1" applyNumberFormat="1">
      <alignment horizontal="center" shrinkToFit="0" vertical="center" wrapText="1"/>
    </xf>
    <xf borderId="14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left" shrinkToFit="0" vertical="center" wrapText="1"/>
    </xf>
    <xf borderId="9" fillId="3" fontId="5" numFmtId="0" xfId="0" applyAlignment="1" applyBorder="1" applyFont="1">
      <alignment horizontal="left" shrinkToFit="0" vertical="center" wrapText="1"/>
    </xf>
    <xf borderId="13" fillId="3" fontId="11" numFmtId="0" xfId="0" applyAlignment="1" applyBorder="1" applyFont="1">
      <alignment shrinkToFit="0" vertical="center" wrapText="1"/>
    </xf>
    <xf borderId="54" fillId="0" fontId="3" numFmtId="0" xfId="0" applyAlignment="1" applyBorder="1" applyFont="1">
      <alignment vertical="center"/>
    </xf>
    <xf borderId="55" fillId="3" fontId="12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left" vertical="center"/>
    </xf>
    <xf borderId="6" fillId="3" fontId="5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vertical="center"/>
    </xf>
    <xf borderId="56" fillId="0" fontId="9" numFmtId="0" xfId="0" applyAlignment="1" applyBorder="1" applyFont="1">
      <alignment horizontal="center" vertical="center"/>
    </xf>
    <xf quotePrefix="1" borderId="57" fillId="0" fontId="9" numFmtId="0" xfId="0" applyAlignment="1" applyBorder="1" applyFont="1">
      <alignment horizontal="center" shrinkToFit="0" vertical="center" wrapText="1"/>
    </xf>
    <xf borderId="58" fillId="0" fontId="3" numFmtId="0" xfId="0" applyAlignment="1" applyBorder="1" applyFont="1">
      <alignment vertical="center"/>
    </xf>
    <xf borderId="0" fillId="3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4" fillId="0" fontId="6" numFmtId="0" xfId="0" applyAlignment="1" applyBorder="1" applyFont="1">
      <alignment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4" fontId="16" numFmtId="0" xfId="0" applyAlignment="1" applyFill="1" applyFont="1">
      <alignment horizontal="center" vertical="center"/>
    </xf>
    <xf borderId="0" fillId="4" fontId="10" numFmtId="0" xfId="0" applyAlignment="1" applyFont="1">
      <alignment horizontal="center" vertical="center"/>
    </xf>
    <xf borderId="9" fillId="0" fontId="17" numFmtId="166" xfId="0" applyAlignment="1" applyBorder="1" applyFont="1" applyNumberFormat="1">
      <alignment horizontal="right" vertical="bottom"/>
    </xf>
    <xf borderId="13" fillId="0" fontId="17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quotePrefix="1" borderId="13" fillId="0" fontId="17" numFmtId="0" xfId="0" applyAlignment="1" applyBorder="1" applyFont="1">
      <alignment vertical="bottom"/>
    </xf>
    <xf borderId="13" fillId="0" fontId="17" numFmtId="14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  <xf borderId="10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18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17" numFmtId="166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quotePrefix="1" borderId="0" fillId="0" fontId="17" numFmtId="0" xfId="0" applyAlignment="1" applyFont="1">
      <alignment vertical="bottom"/>
    </xf>
    <xf borderId="0" fillId="0" fontId="17" numFmtId="14" xfId="0" applyAlignment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0" fillId="0" fontId="6" numFmtId="14" xfId="0" applyAlignment="1" applyFont="1" applyNumberFormat="1">
      <alignment vertical="bottom"/>
    </xf>
    <xf borderId="0" fillId="3" fontId="17" numFmtId="0" xfId="0" applyAlignment="1" applyFont="1">
      <alignment vertical="bottom"/>
    </xf>
    <xf borderId="0" fillId="0" fontId="20" numFmtId="166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quotePrefix="1" borderId="0" fillId="0" fontId="20" numFmtId="0" xfId="0" applyAlignment="1" applyFont="1">
      <alignment vertical="bottom"/>
    </xf>
    <xf borderId="0" fillId="0" fontId="20" numFmtId="14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5" fontId="17" numFmtId="166" xfId="0" applyAlignment="1" applyFill="1" applyFont="1" applyNumberFormat="1">
      <alignment horizontal="right" vertical="bottom"/>
    </xf>
    <xf borderId="0" fillId="3" fontId="6" numFmtId="0" xfId="0" applyAlignment="1" applyFont="1">
      <alignment vertical="bottom"/>
    </xf>
    <xf borderId="0" fillId="6" fontId="22" numFmtId="0" xfId="0" applyAlignment="1" applyFill="1" applyFont="1">
      <alignment vertical="bottom"/>
    </xf>
    <xf quotePrefix="1" borderId="0" fillId="3" fontId="17" numFmtId="0" xfId="0" applyAlignment="1" applyFont="1">
      <alignment vertical="bottom"/>
    </xf>
    <xf borderId="0" fillId="3" fontId="17" numFmtId="14" xfId="0" applyAlignment="1" applyFont="1" applyNumberFormat="1">
      <alignment horizontal="right" vertical="bottom"/>
    </xf>
    <xf borderId="0" fillId="3" fontId="6" numFmtId="14" xfId="0" applyAlignment="1" applyFont="1" applyNumberFormat="1">
      <alignment vertical="bottom"/>
    </xf>
    <xf borderId="0" fillId="3" fontId="17" numFmtId="0" xfId="0" applyAlignment="1" applyFont="1">
      <alignment horizontal="right" vertical="bottom"/>
    </xf>
    <xf borderId="14" fillId="7" fontId="6" numFmtId="0" xfId="0" applyAlignment="1" applyBorder="1" applyFill="1" applyFont="1">
      <alignment vertical="center"/>
    </xf>
    <xf borderId="14" fillId="7" fontId="23" numFmtId="0" xfId="0" applyAlignment="1" applyBorder="1" applyFont="1">
      <alignment vertical="center"/>
    </xf>
    <xf borderId="14" fillId="7" fontId="24" numFmtId="0" xfId="0" applyAlignment="1" applyBorder="1" applyFont="1">
      <alignment horizontal="center" vertical="center"/>
    </xf>
    <xf borderId="0" fillId="8" fontId="25" numFmtId="0" xfId="0" applyAlignment="1" applyFill="1" applyFont="1">
      <alignment horizontal="center" vertical="center"/>
    </xf>
    <xf borderId="14" fillId="7" fontId="6" numFmtId="167" xfId="0" applyAlignment="1" applyBorder="1" applyFont="1" applyNumberFormat="1">
      <alignment vertical="center"/>
    </xf>
    <xf borderId="14" fillId="7" fontId="24" numFmtId="167" xfId="0" applyAlignment="1" applyBorder="1" applyFont="1" applyNumberFormat="1">
      <alignment horizontal="center" vertical="center"/>
    </xf>
    <xf borderId="0" fillId="0" fontId="25" numFmtId="0" xfId="0" applyAlignment="1" applyFont="1">
      <alignment vertical="center"/>
    </xf>
    <xf borderId="4" fillId="7" fontId="6" numFmtId="0" xfId="0" applyAlignment="1" applyBorder="1" applyFont="1">
      <alignment vertical="center"/>
    </xf>
    <xf borderId="0" fillId="7" fontId="24" numFmtId="0" xfId="0" applyAlignment="1" applyFont="1">
      <alignment vertical="center"/>
    </xf>
    <xf borderId="0" fillId="7" fontId="6" numFmtId="0" xfId="0" applyAlignment="1" applyFont="1">
      <alignment vertical="center"/>
    </xf>
    <xf borderId="0" fillId="7" fontId="24" numFmtId="0" xfId="0" applyAlignment="1" applyFont="1">
      <alignment horizontal="center" vertical="center"/>
    </xf>
    <xf borderId="0" fillId="7" fontId="23" numFmtId="0" xfId="0" applyAlignment="1" applyFont="1">
      <alignment horizontal="center" vertical="center"/>
    </xf>
    <xf borderId="5" fillId="7" fontId="26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0" fillId="7" fontId="26" numFmtId="0" xfId="0" applyAlignment="1" applyFont="1">
      <alignment horizontal="center" vertical="center"/>
    </xf>
    <xf borderId="5" fillId="7" fontId="26" numFmtId="0" xfId="0" applyAlignment="1" applyBorder="1" applyFont="1">
      <alignment horizontal="center" vertical="center"/>
    </xf>
    <xf borderId="4" fillId="9" fontId="28" numFmtId="0" xfId="0" applyAlignment="1" applyBorder="1" applyFill="1" applyFont="1">
      <alignment vertical="center"/>
    </xf>
    <xf borderId="0" fillId="9" fontId="6" numFmtId="0" xfId="0" applyAlignment="1" applyFont="1">
      <alignment vertical="center"/>
    </xf>
    <xf borderId="5" fillId="9" fontId="6" numFmtId="0" xfId="0" applyAlignment="1" applyBorder="1" applyFont="1">
      <alignment vertical="center"/>
    </xf>
    <xf borderId="4" fillId="7" fontId="26" numFmtId="0" xfId="0" applyAlignment="1" applyBorder="1" applyFont="1">
      <alignment vertical="center"/>
    </xf>
    <xf borderId="5" fillId="7" fontId="6" numFmtId="0" xfId="0" applyAlignment="1" applyBorder="1" applyFont="1">
      <alignment vertical="center"/>
    </xf>
    <xf borderId="0" fillId="7" fontId="29" numFmtId="0" xfId="0" applyAlignment="1" applyFont="1">
      <alignment vertical="center"/>
    </xf>
    <xf borderId="0" fillId="7" fontId="26" numFmtId="0" xfId="0" applyAlignment="1" applyFont="1">
      <alignment vertical="center"/>
    </xf>
    <xf borderId="0" fillId="7" fontId="25" numFmtId="0" xfId="0" applyAlignment="1" applyFont="1">
      <alignment vertical="center"/>
    </xf>
    <xf borderId="0" fillId="7" fontId="30" numFmtId="0" xfId="0" applyAlignment="1" applyFont="1">
      <alignment horizontal="center" vertical="center"/>
    </xf>
    <xf borderId="5" fillId="7" fontId="30" numFmtId="0" xfId="0" applyAlignment="1" applyBorder="1" applyFont="1">
      <alignment horizontal="center" vertical="center"/>
    </xf>
    <xf borderId="0" fillId="0" fontId="31" numFmtId="0" xfId="0" applyAlignment="1" applyFont="1">
      <alignment vertical="center"/>
    </xf>
    <xf borderId="4" fillId="7" fontId="23" numFmtId="0" xfId="0" applyAlignment="1" applyBorder="1" applyFont="1">
      <alignment vertical="center"/>
    </xf>
    <xf borderId="0" fillId="0" fontId="32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7" fontId="33" numFmtId="0" xfId="0" applyAlignment="1" applyFont="1">
      <alignment vertical="center"/>
    </xf>
    <xf borderId="0" fillId="7" fontId="34" numFmtId="0" xfId="0" applyAlignment="1" applyFont="1">
      <alignment shrinkToFit="0" vertical="center" wrapText="0"/>
    </xf>
    <xf borderId="6" fillId="7" fontId="26" numFmtId="0" xfId="0" applyAlignment="1" applyBorder="1" applyFont="1">
      <alignment vertical="center"/>
    </xf>
    <xf borderId="8" fillId="7" fontId="35" numFmtId="0" xfId="0" applyAlignment="1" applyBorder="1" applyFont="1">
      <alignment shrinkToFit="0" vertical="center" wrapText="0"/>
    </xf>
    <xf borderId="8" fillId="7" fontId="6" numFmtId="0" xfId="0" applyAlignment="1" applyBorder="1" applyFont="1">
      <alignment vertical="center"/>
    </xf>
    <xf borderId="7" fillId="7" fontId="6" numFmtId="0" xfId="0" applyAlignment="1" applyBorder="1" applyFont="1">
      <alignment vertical="center"/>
    </xf>
    <xf borderId="0" fillId="8" fontId="26" numFmtId="0" xfId="0" applyAlignment="1" applyFont="1">
      <alignment horizontal="center" vertical="center"/>
    </xf>
    <xf borderId="0" fillId="3" fontId="6" numFmtId="0" xfId="0" applyAlignment="1" applyFont="1">
      <alignment vertical="center"/>
    </xf>
    <xf borderId="0" fillId="8" fontId="6" numFmtId="0" xfId="0" applyAlignment="1" applyFont="1">
      <alignment vertical="center"/>
    </xf>
    <xf borderId="0" fillId="8" fontId="6" numFmtId="49" xfId="0" applyAlignment="1" applyFont="1" applyNumberFormat="1">
      <alignment vertical="center"/>
    </xf>
    <xf borderId="0" fillId="8" fontId="26" numFmtId="49" xfId="0" applyAlignment="1" applyFont="1" applyNumberFormat="1">
      <alignment horizontal="center" vertical="center"/>
    </xf>
    <xf borderId="0" fillId="0" fontId="36" numFmtId="0" xfId="0" applyAlignment="1" applyFont="1">
      <alignment horizontal="center" vertical="center"/>
    </xf>
    <xf borderId="0" fillId="0" fontId="37" numFmtId="49" xfId="0" applyAlignment="1" applyFont="1" applyNumberFormat="1">
      <alignment horizontal="center" vertical="center"/>
    </xf>
    <xf borderId="0" fillId="0" fontId="38" numFmtId="49" xfId="0" applyAlignment="1" applyFont="1" applyNumberFormat="1">
      <alignment horizontal="center" vertical="center"/>
    </xf>
    <xf borderId="0" fillId="0" fontId="39" numFmtId="0" xfId="0" applyAlignment="1" applyFont="1">
      <alignment horizontal="center" vertical="center"/>
    </xf>
    <xf borderId="0" fillId="8" fontId="26" numFmtId="0" xfId="0" applyAlignment="1" applyFont="1">
      <alignment vertical="center"/>
    </xf>
    <xf borderId="0" fillId="8" fontId="26" numFmtId="49" xfId="0" applyAlignment="1" applyFont="1" applyNumberFormat="1">
      <alignment vertical="center"/>
    </xf>
    <xf quotePrefix="1" borderId="0" fillId="8" fontId="26" numFmtId="49" xfId="0" applyAlignment="1" applyFont="1" applyNumberFormat="1">
      <alignment horizontal="right" vertical="center"/>
    </xf>
    <xf borderId="0" fillId="0" fontId="26" numFmtId="49" xfId="0" applyAlignment="1" applyFont="1" applyNumberFormat="1">
      <alignment vertical="center"/>
    </xf>
    <xf borderId="0" fillId="8" fontId="26" numFmtId="49" xfId="0" applyAlignment="1" applyFont="1" applyNumberFormat="1">
      <alignment horizontal="right" vertical="center"/>
    </xf>
    <xf borderId="0" fillId="8" fontId="26" numFmtId="49" xfId="0" applyAlignment="1" applyFont="1" applyNumberFormat="1">
      <alignment horizontal="left" vertical="center"/>
    </xf>
    <xf borderId="0" fillId="0" fontId="26" numFmtId="49" xfId="0" applyAlignment="1" applyFont="1" applyNumberFormat="1">
      <alignment horizontal="right" vertical="center"/>
    </xf>
    <xf borderId="0" fillId="0" fontId="26" numFmtId="0" xfId="0" applyAlignment="1" applyFont="1">
      <alignment horizontal="right" vertical="center"/>
    </xf>
    <xf quotePrefix="1" borderId="0" fillId="0" fontId="26" numFmtId="0" xfId="0" applyAlignment="1" applyFont="1">
      <alignment horizontal="right" vertical="center"/>
    </xf>
    <xf borderId="0" fillId="0" fontId="26" numFmtId="0" xfId="0" applyAlignment="1" applyFont="1">
      <alignment vertical="bottom"/>
    </xf>
    <xf borderId="0" fillId="10" fontId="26" numFmtId="0" xfId="0" applyAlignment="1" applyFill="1" applyFont="1">
      <alignment vertical="center"/>
    </xf>
    <xf borderId="0" fillId="10" fontId="26" numFmtId="49" xfId="0" applyAlignment="1" applyFont="1" applyNumberFormat="1">
      <alignment vertical="center"/>
    </xf>
    <xf borderId="0" fillId="10" fontId="40" numFmtId="0" xfId="0" applyAlignment="1" applyFont="1">
      <alignment vertical="center"/>
    </xf>
    <xf borderId="0" fillId="8" fontId="40" numFmtId="49" xfId="0" applyAlignment="1" applyFont="1" applyNumberFormat="1">
      <alignment horizontal="right" vertical="center"/>
    </xf>
    <xf quotePrefix="1" borderId="0" fillId="8" fontId="40" numFmtId="49" xfId="0" applyAlignment="1" applyFont="1" applyNumberFormat="1">
      <alignment horizontal="right" vertical="center"/>
    </xf>
    <xf borderId="0" fillId="0" fontId="40" numFmtId="0" xfId="0" applyAlignment="1" applyFont="1">
      <alignment vertical="center"/>
    </xf>
    <xf borderId="0" fillId="0" fontId="40" numFmtId="0" xfId="0" applyAlignment="1" applyFont="1">
      <alignment horizontal="right" vertical="center"/>
    </xf>
    <xf borderId="0" fillId="8" fontId="40" numFmtId="0" xfId="0" applyAlignment="1" applyFont="1">
      <alignment vertical="center"/>
    </xf>
    <xf quotePrefix="1" borderId="0" fillId="0" fontId="40" numFmtId="0" xfId="0" applyAlignment="1" applyFont="1">
      <alignment horizontal="right" vertical="center"/>
    </xf>
    <xf borderId="8" fillId="11" fontId="41" numFmtId="0" xfId="0" applyAlignment="1" applyBorder="1" applyFill="1" applyFont="1">
      <alignment vertical="center"/>
    </xf>
    <xf borderId="31" fillId="11" fontId="41" numFmtId="0" xfId="0" applyAlignment="1" applyBorder="1" applyFont="1">
      <alignment horizontal="center" vertical="center"/>
    </xf>
    <xf borderId="7" fillId="11" fontId="41" numFmtId="0" xfId="0" applyAlignment="1" applyBorder="1" applyFont="1">
      <alignment horizontal="center" vertical="center"/>
    </xf>
    <xf borderId="31" fillId="11" fontId="41" numFmtId="0" xfId="0" applyAlignment="1" applyBorder="1" applyFont="1">
      <alignment vertical="center"/>
    </xf>
    <xf borderId="7" fillId="11" fontId="41" numFmtId="0" xfId="0" applyAlignment="1" applyBorder="1" applyFont="1">
      <alignment vertical="center"/>
    </xf>
    <xf borderId="7" fillId="11" fontId="42" numFmtId="0" xfId="0" applyAlignment="1" applyBorder="1" applyFont="1">
      <alignment vertical="center"/>
    </xf>
    <xf borderId="0" fillId="0" fontId="6" numFmtId="0" xfId="0" applyAlignment="1" applyFont="1">
      <alignment horizontal="right" vertical="center"/>
    </xf>
    <xf borderId="0" fillId="0" fontId="6" numFmtId="49" xfId="0" applyAlignment="1" applyFont="1" applyNumberFormat="1">
      <alignment vertical="center"/>
    </xf>
    <xf borderId="59" fillId="12" fontId="43" numFmtId="0" xfId="0" applyAlignment="1" applyBorder="1" applyFill="1" applyFont="1">
      <alignment vertical="center"/>
    </xf>
    <xf borderId="60" fillId="12" fontId="44" numFmtId="0" xfId="0" applyAlignment="1" applyBorder="1" applyFont="1">
      <alignment vertical="center"/>
    </xf>
    <xf borderId="61" fillId="12" fontId="45" numFmtId="0" xfId="0" applyAlignment="1" applyBorder="1" applyFont="1">
      <alignment vertical="center"/>
    </xf>
    <xf borderId="61" fillId="12" fontId="45" numFmtId="168" xfId="0" applyAlignment="1" applyBorder="1" applyFont="1" applyNumberFormat="1">
      <alignment vertical="center"/>
    </xf>
    <xf borderId="62" fillId="12" fontId="43" numFmtId="0" xfId="0" applyAlignment="1" applyBorder="1" applyFont="1">
      <alignment vertical="center"/>
    </xf>
    <xf borderId="62" fillId="12" fontId="46" numFmtId="0" xfId="0" applyAlignment="1" applyBorder="1" applyFont="1">
      <alignment vertical="center"/>
    </xf>
    <xf borderId="59" fillId="0" fontId="47" numFmtId="0" xfId="0" applyAlignment="1" applyBorder="1" applyFont="1">
      <alignment vertical="center"/>
    </xf>
    <xf borderId="63" fillId="12" fontId="48" numFmtId="0" xfId="0" applyAlignment="1" applyBorder="1" applyFont="1">
      <alignment vertical="center"/>
    </xf>
    <xf borderId="0" fillId="0" fontId="49" numFmtId="0" xfId="0" applyAlignment="1" applyFont="1">
      <alignment vertical="center"/>
    </xf>
    <xf borderId="64" fillId="12" fontId="50" numFmtId="0" xfId="0" applyAlignment="1" applyBorder="1" applyFont="1">
      <alignment vertical="center"/>
    </xf>
    <xf borderId="64" fillId="12" fontId="50" numFmtId="168" xfId="0" applyAlignment="1" applyBorder="1" applyFont="1" applyNumberFormat="1">
      <alignment vertical="center"/>
    </xf>
    <xf borderId="64" fillId="12" fontId="51" numFmtId="0" xfId="0" applyAlignment="1" applyBorder="1" applyFont="1">
      <alignment vertical="center"/>
    </xf>
    <xf borderId="65" fillId="12" fontId="52" numFmtId="0" xfId="0" applyAlignment="1" applyBorder="1" applyFont="1">
      <alignment horizontal="center" vertical="center"/>
    </xf>
    <xf borderId="66" fillId="0" fontId="3" numFmtId="0" xfId="0" applyAlignment="1" applyBorder="1" applyFont="1">
      <alignment vertical="center"/>
    </xf>
    <xf borderId="67" fillId="0" fontId="3" numFmtId="0" xfId="0" applyAlignment="1" applyBorder="1" applyFont="1">
      <alignment vertical="center"/>
    </xf>
    <xf borderId="0" fillId="0" fontId="47" numFmtId="0" xfId="0" applyAlignment="1" applyFont="1">
      <alignment vertical="center"/>
    </xf>
    <xf borderId="59" fillId="0" fontId="43" numFmtId="0" xfId="0" applyAlignment="1" applyBorder="1" applyFont="1">
      <alignment vertical="center"/>
    </xf>
    <xf borderId="68" fillId="13" fontId="53" numFmtId="0" xfId="0" applyAlignment="1" applyBorder="1" applyFill="1" applyFont="1">
      <alignment vertical="center"/>
    </xf>
    <xf borderId="69" fillId="14" fontId="54" numFmtId="0" xfId="0" applyAlignment="1" applyBorder="1" applyFill="1" applyFont="1">
      <alignment horizontal="left" vertical="center"/>
    </xf>
    <xf borderId="70" fillId="0" fontId="3" numFmtId="0" xfId="0" applyAlignment="1" applyBorder="1" applyFont="1">
      <alignment vertical="center"/>
    </xf>
    <xf borderId="71" fillId="13" fontId="53" numFmtId="168" xfId="0" applyAlignment="1" applyBorder="1" applyFont="1" applyNumberFormat="1">
      <alignment horizontal="left" vertical="center"/>
    </xf>
    <xf borderId="71" fillId="13" fontId="53" numFmtId="0" xfId="0" applyAlignment="1" applyBorder="1" applyFont="1">
      <alignment horizontal="left" vertical="center"/>
    </xf>
    <xf borderId="69" fillId="14" fontId="53" numFmtId="0" xfId="0" applyAlignment="1" applyBorder="1" applyFont="1">
      <alignment horizontal="left" vertical="center"/>
    </xf>
    <xf borderId="72" fillId="0" fontId="3" numFmtId="0" xfId="0" applyAlignment="1" applyBorder="1" applyFont="1">
      <alignment vertical="center"/>
    </xf>
    <xf borderId="73" fillId="0" fontId="3" numFmtId="0" xfId="0" applyAlignment="1" applyBorder="1" applyFont="1">
      <alignment vertical="center"/>
    </xf>
    <xf borderId="0" fillId="0" fontId="43" numFmtId="0" xfId="0" applyAlignment="1" applyFont="1">
      <alignment vertical="center"/>
    </xf>
    <xf borderId="60" fillId="13" fontId="53" numFmtId="0" xfId="0" applyAlignment="1" applyBorder="1" applyFont="1">
      <alignment vertical="center"/>
    </xf>
    <xf borderId="61" fillId="14" fontId="54" numFmtId="0" xfId="0" applyAlignment="1" applyBorder="1" applyFont="1">
      <alignment horizontal="center" vertical="center"/>
    </xf>
    <xf borderId="61" fillId="14" fontId="54" numFmtId="0" xfId="0" applyAlignment="1" applyBorder="1" applyFont="1">
      <alignment horizontal="left" vertical="center"/>
    </xf>
    <xf borderId="61" fillId="13" fontId="53" numFmtId="168" xfId="0" applyAlignment="1" applyBorder="1" applyFont="1" applyNumberFormat="1">
      <alignment horizontal="center" vertical="center"/>
    </xf>
    <xf borderId="61" fillId="13" fontId="53" numFmtId="0" xfId="0" applyAlignment="1" applyBorder="1" applyFont="1">
      <alignment horizontal="left" vertical="center"/>
    </xf>
    <xf borderId="59" fillId="14" fontId="53" numFmtId="0" xfId="0" applyAlignment="1" applyBorder="1" applyFont="1">
      <alignment horizontal="left" vertical="center"/>
    </xf>
    <xf borderId="74" fillId="0" fontId="3" numFmtId="0" xfId="0" applyAlignment="1" applyBorder="1" applyFont="1">
      <alignment vertical="center"/>
    </xf>
    <xf borderId="61" fillId="14" fontId="53" numFmtId="0" xfId="0" applyAlignment="1" applyBorder="1" applyFont="1">
      <alignment horizontal="left" vertical="center"/>
    </xf>
    <xf borderId="75" fillId="0" fontId="3" numFmtId="0" xfId="0" applyAlignment="1" applyBorder="1" applyFont="1">
      <alignment vertical="center"/>
    </xf>
    <xf borderId="76" fillId="13" fontId="53" numFmtId="0" xfId="0" applyAlignment="1" applyBorder="1" applyFont="1">
      <alignment vertical="center"/>
    </xf>
    <xf borderId="65" fillId="14" fontId="54" numFmtId="0" xfId="0" applyAlignment="1" applyBorder="1" applyFont="1">
      <alignment horizontal="center" vertical="center"/>
    </xf>
    <xf borderId="77" fillId="13" fontId="53" numFmtId="0" xfId="0" applyAlignment="1" applyBorder="1" applyFont="1">
      <alignment horizontal="left" vertical="center"/>
    </xf>
    <xf borderId="65" fillId="14" fontId="55" numFmtId="0" xfId="0" applyAlignment="1" applyBorder="1" applyFont="1">
      <alignment horizontal="center" vertical="center"/>
    </xf>
    <xf borderId="78" fillId="0" fontId="3" numFmtId="0" xfId="0" applyAlignment="1" applyBorder="1" applyFont="1">
      <alignment vertical="center"/>
    </xf>
    <xf borderId="79" fillId="0" fontId="53" numFmtId="0" xfId="0" applyAlignment="1" applyBorder="1" applyFont="1">
      <alignment vertical="center"/>
    </xf>
    <xf borderId="80" fillId="0" fontId="53" numFmtId="0" xfId="0" applyAlignment="1" applyBorder="1" applyFont="1">
      <alignment vertical="center"/>
    </xf>
    <xf borderId="80" fillId="0" fontId="53" numFmtId="0" xfId="0" applyAlignment="1" applyBorder="1" applyFont="1">
      <alignment horizontal="left" vertical="center"/>
    </xf>
    <xf borderId="80" fillId="0" fontId="56" numFmtId="168" xfId="0" applyAlignment="1" applyBorder="1" applyFont="1" applyNumberFormat="1">
      <alignment vertical="center"/>
    </xf>
    <xf borderId="80" fillId="0" fontId="56" numFmtId="0" xfId="0" applyAlignment="1" applyBorder="1" applyFont="1">
      <alignment vertical="center"/>
    </xf>
    <xf borderId="80" fillId="0" fontId="54" numFmtId="0" xfId="0" applyAlignment="1" applyBorder="1" applyFont="1">
      <alignment vertical="center"/>
    </xf>
    <xf borderId="68" fillId="13" fontId="53" numFmtId="0" xfId="0" applyAlignment="1" applyBorder="1" applyFont="1">
      <alignment horizontal="center" vertical="center"/>
    </xf>
    <xf borderId="71" fillId="13" fontId="53" numFmtId="0" xfId="0" applyAlignment="1" applyBorder="1" applyFont="1">
      <alignment horizontal="center" vertical="center"/>
    </xf>
    <xf borderId="71" fillId="13" fontId="53" numFmtId="0" xfId="0" applyAlignment="1" applyBorder="1" applyFont="1">
      <alignment vertical="center"/>
    </xf>
    <xf borderId="71" fillId="13" fontId="53" numFmtId="168" xfId="0" applyAlignment="1" applyBorder="1" applyFont="1" applyNumberFormat="1">
      <alignment horizontal="center" vertical="center"/>
    </xf>
    <xf borderId="81" fillId="13" fontId="53" numFmtId="0" xfId="0" applyAlignment="1" applyBorder="1" applyFont="1">
      <alignment horizontal="center" vertical="center"/>
    </xf>
    <xf borderId="82" fillId="13" fontId="53" numFmtId="0" xfId="0" applyAlignment="1" applyBorder="1" applyFont="1">
      <alignment horizontal="center" vertical="center"/>
    </xf>
    <xf borderId="40" fillId="13" fontId="57" numFmtId="0" xfId="0" applyAlignment="1" applyBorder="1" applyFont="1">
      <alignment horizontal="left" shrinkToFit="0" vertical="top" wrapText="1"/>
    </xf>
    <xf borderId="60" fillId="0" fontId="54" numFmtId="0" xfId="0" applyAlignment="1" applyBorder="1" applyFont="1">
      <alignment horizontal="right" vertical="top"/>
    </xf>
    <xf borderId="61" fillId="0" fontId="54" numFmtId="0" xfId="0" applyAlignment="1" applyBorder="1" applyFont="1">
      <alignment horizontal="center" vertical="center"/>
    </xf>
    <xf borderId="61" fillId="0" fontId="54" numFmtId="0" xfId="0" applyAlignment="1" applyBorder="1" applyFont="1">
      <alignment shrinkToFit="0" vertical="center" wrapText="1"/>
    </xf>
    <xf borderId="61" fillId="14" fontId="58" numFmtId="168" xfId="0" applyAlignment="1" applyBorder="1" applyFont="1" applyNumberFormat="1">
      <alignment horizontal="center" vertical="center"/>
    </xf>
    <xf borderId="83" fillId="14" fontId="53" numFmtId="0" xfId="0" applyAlignment="1" applyBorder="1" applyFont="1">
      <alignment horizontal="center" vertical="center"/>
    </xf>
    <xf borderId="60" fillId="0" fontId="53" numFmtId="0" xfId="0" applyAlignment="1" applyBorder="1" applyFont="1">
      <alignment horizontal="center" vertical="center"/>
    </xf>
    <xf borderId="84" fillId="14" fontId="53" numFmtId="0" xfId="0" applyAlignment="1" applyBorder="1" applyFont="1">
      <alignment horizontal="center" vertical="center"/>
    </xf>
    <xf borderId="85" fillId="0" fontId="3" numFmtId="0" xfId="0" applyAlignment="1" applyBorder="1" applyFont="1">
      <alignment vertical="center"/>
    </xf>
    <xf borderId="60" fillId="0" fontId="54" numFmtId="0" xfId="0" applyAlignment="1" applyBorder="1" applyFont="1">
      <alignment horizontal="right" shrinkToFit="0" vertical="center" wrapText="1"/>
    </xf>
    <xf borderId="60" fillId="0" fontId="54" numFmtId="0" xfId="0" applyAlignment="1" applyBorder="1" applyFont="1">
      <alignment horizontal="right" vertical="center"/>
    </xf>
    <xf borderId="86" fillId="0" fontId="54" numFmtId="0" xfId="0" applyAlignment="1" applyBorder="1" applyFont="1">
      <alignment shrinkToFit="0" vertical="center" wrapText="1"/>
    </xf>
    <xf borderId="60" fillId="0" fontId="53" numFmtId="0" xfId="0" applyAlignment="1" applyBorder="1" applyFont="1">
      <alignment horizontal="center" shrinkToFit="0" vertical="center" wrapText="1"/>
    </xf>
    <xf borderId="87" fillId="0" fontId="54" numFmtId="0" xfId="0" applyAlignment="1" applyBorder="1" applyFont="1">
      <alignment horizontal="right" vertical="center"/>
    </xf>
    <xf borderId="86" fillId="0" fontId="54" numFmtId="0" xfId="0" applyAlignment="1" applyBorder="1" applyFont="1">
      <alignment horizontal="center" vertical="center"/>
    </xf>
    <xf borderId="80" fillId="0" fontId="3" numFmtId="0" xfId="0" applyAlignment="1" applyBorder="1" applyFont="1">
      <alignment vertical="center"/>
    </xf>
    <xf borderId="86" fillId="14" fontId="58" numFmtId="168" xfId="0" applyAlignment="1" applyBorder="1" applyFont="1" applyNumberFormat="1">
      <alignment horizontal="center" vertical="center"/>
    </xf>
    <xf borderId="88" fillId="14" fontId="53" numFmtId="0" xfId="0" applyAlignment="1" applyBorder="1" applyFont="1">
      <alignment horizontal="center" vertical="center"/>
    </xf>
    <xf borderId="89" fillId="0" fontId="3" numFmtId="0" xfId="0" applyAlignment="1" applyBorder="1" applyFont="1">
      <alignment vertical="center"/>
    </xf>
    <xf borderId="90" fillId="0" fontId="3" numFmtId="0" xfId="0" applyAlignment="1" applyBorder="1" applyFont="1">
      <alignment vertical="center"/>
    </xf>
    <xf borderId="91" fillId="0" fontId="3" numFmtId="0" xfId="0" applyAlignment="1" applyBorder="1" applyFont="1">
      <alignment vertical="center"/>
    </xf>
    <xf borderId="76" fillId="0" fontId="54" numFmtId="0" xfId="0" applyAlignment="1" applyBorder="1" applyFont="1">
      <alignment horizontal="right" vertical="center"/>
    </xf>
    <xf borderId="77" fillId="0" fontId="54" numFmtId="0" xfId="0" applyAlignment="1" applyBorder="1" applyFont="1">
      <alignment horizontal="center" vertical="center"/>
    </xf>
    <xf borderId="77" fillId="0" fontId="54" numFmtId="0" xfId="0" applyAlignment="1" applyBorder="1" applyFont="1">
      <alignment shrinkToFit="0" vertical="center" wrapText="1"/>
    </xf>
    <xf borderId="77" fillId="14" fontId="58" numFmtId="168" xfId="0" applyAlignment="1" applyBorder="1" applyFont="1" applyNumberFormat="1">
      <alignment horizontal="center" vertical="center"/>
    </xf>
    <xf borderId="92" fillId="14" fontId="53" numFmtId="0" xfId="0" applyAlignment="1" applyBorder="1" applyFont="1">
      <alignment horizontal="center" vertical="center"/>
    </xf>
    <xf borderId="84" fillId="14" fontId="53" numFmtId="167" xfId="0" applyAlignment="1" applyBorder="1" applyFont="1" applyNumberFormat="1">
      <alignment horizontal="center" vertical="center"/>
    </xf>
    <xf borderId="71" fillId="13" fontId="53" numFmtId="0" xfId="0" applyAlignment="1" applyBorder="1" applyFont="1">
      <alignment shrinkToFit="0" vertical="center" wrapText="1"/>
    </xf>
    <xf borderId="71" fillId="13" fontId="59" numFmtId="168" xfId="0" applyAlignment="1" applyBorder="1" applyFont="1" applyNumberFormat="1">
      <alignment horizontal="center" vertical="center"/>
    </xf>
    <xf borderId="61" fillId="0" fontId="53" numFmtId="0" xfId="0" applyAlignment="1" applyBorder="1" applyFont="1">
      <alignment horizontal="center" shrinkToFit="0" vertical="center" wrapText="1"/>
    </xf>
    <xf borderId="61" fillId="0" fontId="53" numFmtId="0" xfId="0" applyAlignment="1" applyBorder="1" applyFont="1">
      <alignment horizontal="left" shrinkToFit="0" vertical="center" wrapText="1"/>
    </xf>
    <xf borderId="61" fillId="14" fontId="59" numFmtId="168" xfId="0" applyAlignment="1" applyBorder="1" applyFont="1" applyNumberFormat="1">
      <alignment horizontal="center" vertical="center"/>
    </xf>
    <xf borderId="76" fillId="0" fontId="53" numFmtId="0" xfId="0" applyAlignment="1" applyBorder="1" applyFont="1">
      <alignment horizontal="center" shrinkToFit="0" vertical="center" wrapText="1"/>
    </xf>
    <xf borderId="93" fillId="14" fontId="53" numFmtId="0" xfId="0" applyAlignment="1" applyBorder="1" applyFont="1">
      <alignment horizontal="center" vertical="center"/>
    </xf>
    <xf borderId="61" fillId="0" fontId="53" numFmtId="0" xfId="0" applyAlignment="1" applyBorder="1" applyFont="1">
      <alignment horizontal="center" vertical="center"/>
    </xf>
    <xf borderId="61" fillId="0" fontId="53" numFmtId="0" xfId="0" applyAlignment="1" applyBorder="1" applyFont="1">
      <alignment shrinkToFit="0" vertical="center" wrapText="1"/>
    </xf>
    <xf borderId="94" fillId="15" fontId="60" numFmtId="0" xfId="0" applyAlignment="1" applyBorder="1" applyFill="1" applyFont="1">
      <alignment horizontal="center" shrinkToFit="0" vertical="center" wrapText="1"/>
    </xf>
    <xf borderId="95" fillId="0" fontId="3" numFmtId="0" xfId="0" applyAlignment="1" applyBorder="1" applyFont="1">
      <alignment vertical="center"/>
    </xf>
    <xf borderId="96" fillId="13" fontId="57" numFmtId="0" xfId="0" applyAlignment="1" applyBorder="1" applyFont="1">
      <alignment horizontal="left" shrinkToFit="0" vertical="top" wrapText="1"/>
    </xf>
    <xf borderId="97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76" fillId="0" fontId="53" numFmtId="0" xfId="0" applyAlignment="1" applyBorder="1" applyFont="1">
      <alignment horizontal="center" vertical="center"/>
    </xf>
    <xf borderId="77" fillId="0" fontId="53" numFmtId="0" xfId="0" applyAlignment="1" applyBorder="1" applyFont="1">
      <alignment horizontal="center" vertical="center"/>
    </xf>
    <xf borderId="77" fillId="14" fontId="59" numFmtId="168" xfId="0" applyAlignment="1" applyBorder="1" applyFont="1" applyNumberFormat="1">
      <alignment horizontal="center" vertical="center"/>
    </xf>
    <xf borderId="98" fillId="0" fontId="3" numFmtId="0" xfId="0" applyAlignment="1" applyBorder="1" applyFont="1">
      <alignment vertical="center"/>
    </xf>
    <xf borderId="57" fillId="0" fontId="3" numFmtId="0" xfId="0" applyAlignment="1" applyBorder="1" applyFont="1">
      <alignment vertical="center"/>
    </xf>
    <xf borderId="99" fillId="0" fontId="3" numFmtId="0" xfId="0" applyAlignment="1" applyBorder="1" applyFont="1">
      <alignment vertical="center"/>
    </xf>
    <xf borderId="85" fillId="0" fontId="43" numFmtId="0" xfId="0" applyAlignment="1" applyBorder="1" applyFont="1">
      <alignment vertical="center"/>
    </xf>
    <xf borderId="0" fillId="0" fontId="43" numFmtId="168" xfId="0" applyAlignment="1" applyFont="1" applyNumberFormat="1">
      <alignment vertical="center"/>
    </xf>
    <xf borderId="85" fillId="0" fontId="10" numFmtId="0" xfId="0" applyAlignment="1" applyBorder="1" applyFont="1">
      <alignment vertical="center"/>
    </xf>
    <xf borderId="0" fillId="0" fontId="6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vertical="bottom"/>
    </xf>
    <xf borderId="14" fillId="15" fontId="1" numFmtId="0" xfId="0" applyAlignment="1" applyBorder="1" applyFont="1">
      <alignment shrinkToFit="0" vertical="center" wrapText="1"/>
    </xf>
    <xf borderId="1" fillId="0" fontId="62" numFmtId="0" xfId="0" applyAlignment="1" applyBorder="1" applyFont="1">
      <alignment horizontal="center" vertical="center"/>
    </xf>
    <xf borderId="14" fillId="15" fontId="1" numFmtId="0" xfId="0" applyAlignment="1" applyBorder="1" applyFont="1">
      <alignment horizontal="left" shrinkToFit="0" vertical="center" wrapText="1"/>
    </xf>
    <xf borderId="14" fillId="0" fontId="1" numFmtId="0" xfId="0" applyAlignment="1" applyBorder="1" applyFont="1">
      <alignment horizontal="left" vertical="bottom"/>
    </xf>
    <xf borderId="14" fillId="15" fontId="63" numFmtId="0" xfId="0" applyAlignment="1" applyBorder="1" applyFont="1">
      <alignment horizontal="center" shrinkToFit="0" vertical="bottom" wrapText="1"/>
    </xf>
    <xf borderId="0" fillId="15" fontId="63" numFmtId="0" xfId="0" applyAlignment="1" applyFont="1">
      <alignment horizontal="center" vertical="bottom"/>
    </xf>
    <xf borderId="8" fillId="0" fontId="64" numFmtId="0" xfId="0" applyAlignment="1" applyBorder="1" applyFont="1">
      <alignment vertical="center"/>
    </xf>
    <xf borderId="14" fillId="15" fontId="63" numFmtId="0" xfId="0" applyAlignment="1" applyBorder="1" applyFont="1">
      <alignment horizontal="center" shrinkToFit="0" vertical="center" wrapText="1"/>
    </xf>
    <xf borderId="1" fillId="15" fontId="63" numFmtId="0" xfId="0" applyAlignment="1" applyBorder="1" applyFont="1">
      <alignment horizontal="center" shrinkToFit="0" vertical="center" wrapText="1"/>
    </xf>
    <xf borderId="14" fillId="15" fontId="63" numFmtId="0" xfId="0" applyAlignment="1" applyBorder="1" applyFont="1">
      <alignment horizontal="center" vertical="bottom"/>
    </xf>
    <xf borderId="29" fillId="0" fontId="63" numFmtId="0" xfId="0" applyAlignment="1" applyBorder="1" applyFont="1">
      <alignment horizontal="center" shrinkToFit="0" vertical="center" wrapText="1"/>
    </xf>
    <xf borderId="29" fillId="16" fontId="63" numFmtId="0" xfId="0" applyAlignment="1" applyBorder="1" applyFill="1" applyFont="1">
      <alignment horizontal="center" shrinkToFit="0" vertical="center" wrapText="1"/>
    </xf>
    <xf borderId="14" fillId="16" fontId="1" numFmtId="0" xfId="0" applyAlignment="1" applyBorder="1" applyFont="1">
      <alignment horizontal="center" vertical="center"/>
    </xf>
    <xf borderId="3" fillId="16" fontId="1" numFmtId="0" xfId="0" applyAlignment="1" applyBorder="1" applyFont="1">
      <alignment shrinkToFit="0" vertical="center" wrapText="1"/>
    </xf>
    <xf borderId="14" fillId="17" fontId="1" numFmtId="0" xfId="0" applyAlignment="1" applyBorder="1" applyFill="1" applyFont="1">
      <alignment horizontal="left" vertical="center"/>
    </xf>
    <xf borderId="14" fillId="3" fontId="1" numFmtId="0" xfId="0" applyAlignment="1" applyBorder="1" applyFont="1">
      <alignment horizontal="left" vertical="center"/>
    </xf>
    <xf borderId="31" fillId="16" fontId="1" numFmtId="0" xfId="0" applyAlignment="1" applyBorder="1" applyFont="1">
      <alignment horizontal="center" vertical="center"/>
    </xf>
    <xf borderId="7" fillId="16" fontId="1" numFmtId="0" xfId="0" applyAlignment="1" applyBorder="1" applyFont="1">
      <alignment vertical="center"/>
    </xf>
    <xf borderId="7" fillId="16" fontId="1" numFmtId="0" xfId="0" applyAlignment="1" applyBorder="1" applyFont="1">
      <alignment shrinkToFit="0" vertical="center" wrapText="1"/>
    </xf>
    <xf borderId="14" fillId="16" fontId="1" numFmtId="0" xfId="0" applyAlignment="1" applyBorder="1" applyFont="1">
      <alignment horizontal="left" vertical="center"/>
    </xf>
    <xf borderId="14" fillId="16" fontId="5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00" fillId="16" fontId="1" numFmtId="0" xfId="0" applyAlignment="1" applyBorder="1" applyFont="1">
      <alignment horizontal="center" vertical="center"/>
    </xf>
    <xf borderId="29" fillId="17" fontId="1" numFmtId="0" xfId="0" applyAlignment="1" applyBorder="1" applyFont="1">
      <alignment horizontal="left" vertical="center"/>
    </xf>
    <xf borderId="29" fillId="3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horizontal="left" vertical="bottom"/>
    </xf>
    <xf borderId="13" fillId="0" fontId="63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vertical="bottom"/>
    </xf>
    <xf borderId="0" fillId="0" fontId="6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6" fontId="10" numFmtId="0" xfId="0" applyAlignment="1" applyFont="1">
      <alignment vertical="center"/>
    </xf>
    <xf borderId="0" fillId="18" fontId="10" numFmtId="0" xfId="0" applyAlignment="1" applyFill="1" applyFont="1">
      <alignment vertical="center"/>
    </xf>
    <xf borderId="0" fillId="5" fontId="10" numFmtId="0" xfId="0" applyAlignment="1" applyFont="1">
      <alignment vertical="center"/>
    </xf>
    <xf borderId="0" fillId="19" fontId="10" numFmtId="0" xfId="0" applyAlignment="1" applyFill="1" applyFont="1">
      <alignment vertical="center"/>
    </xf>
    <xf borderId="0" fillId="20" fontId="10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16</xdr:row>
      <xdr:rowOff>0</xdr:rowOff>
    </xdr:from>
    <xdr:ext cx="685800" cy="4857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257175" cy="1428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57175" cy="1428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beb587ee-1646-499d-9986-ed07bf30622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0" dT="2026-05-22T07:08:29.00" personId="{beb587ee-1646-499d-9986-ed07bf306224}" id="{fedaf0eb-7e22-4c09-82cc-f508e91c2ecf}" done="0">
    <x18tc:text xml:space="preserve">回覆者更新了這個值。</x18tc:text>
  </x18tc:threadedComment>
  <x18tc:threadedComment ref="I8" dT="2026-05-22T07:08:29.00" personId="{beb587ee-1646-499d-9986-ed07bf306224}" id="{ea8b29c3-cb73-4950-97e4-bac79b74cae6}" done="0">
    <x18tc:text xml:space="preserve">回覆者更新了這個值。</x18tc:text>
  </x18tc:threadedComment>
  <x18tc:threadedComment ref="AD9" dT="2026-05-22T07:08:29.00" personId="{beb587ee-1646-499d-9986-ed07bf306224}" id="{a6f7fc7c-e99c-491a-a61f-a145f98ba789}" done="0">
    <x18tc:text xml:space="preserve">回覆者更新了這個值。</x18tc:text>
  </x18tc:threadedComment>
  <x18tc:threadedComment ref="W5" dT="2026-05-22T07:08:29.00" personId="{beb587ee-1646-499d-9986-ed07bf306224}" id="{4654d7bd-6992-490b-b8b5-5688557ac2e9}" done="0">
    <x18tc:text xml:space="preserve">回覆者更新了這個值。</x18tc:text>
  </x18tc:threadedComment>
  <x18tc:threadedComment ref="L16" dT="2026-05-22T07:08:29.00" personId="{beb587ee-1646-499d-9986-ed07bf306224}" id="{75c3d385-10a1-43f4-acbe-06d2b2663eba}" done="0">
    <x18tc:text xml:space="preserve">回覆者更新了這個值。</x18tc:text>
  </x18tc:threadedComment>
  <x18tc:threadedComment ref="F12" dT="2026-05-22T07:08:29.00" personId="{beb587ee-1646-499d-9986-ed07bf306224}" id="{d8ef208f-a657-4ee9-b792-e21006a09710}" done="0">
    <x18tc:text xml:space="preserve">回覆者更新了這個值。</x18tc:text>
  </x18tc:threadedComment>
  <x18tc:threadedComment ref="AD11" dT="2026-05-22T07:08:29.00" personId="{beb587ee-1646-499d-9986-ed07bf306224}" id="{732e765d-c507-44d5-9ea7-97ce0ad3b05d}" done="0">
    <x18tc:text xml:space="preserve">回覆者更新了這個值。</x18tc:text>
  </x18tc:threadedComment>
  <x18tc:threadedComment ref="O8" dT="2026-05-22T07:08:29.00" personId="{beb587ee-1646-499d-9986-ed07bf306224}" id="{9aac0532-86d5-4093-a30c-af9afd5f3167}" done="0">
    <x18tc:text xml:space="preserve">回覆者更新了這個值。</x18tc:text>
  </x18tc:threadedComment>
  <x18tc:threadedComment ref="J20" dT="2026-05-22T07:08:29.00" personId="{beb587ee-1646-499d-9986-ed07bf306224}" id="{a47790d8-5422-4ad9-b6c5-0c6ea196f341}" done="0">
    <x18tc:text xml:space="preserve">回覆者更新了這個值。</x18tc:text>
  </x18tc:threadedComment>
  <x18tc:threadedComment ref="W6" dT="2026-05-22T07:08:29.00" personId="{beb587ee-1646-499d-9986-ed07bf306224}" id="{54fe3c83-1dda-469d-a9f6-419ce18e931a}" done="0">
    <x18tc:text xml:space="preserve">回覆者更新了這個值。</x18tc:text>
  </x18tc:threadedComment>
  <x18tc:threadedComment ref="O20" dT="2026-05-22T07:08:29.00" personId="{beb587ee-1646-499d-9986-ed07bf306224}" id="{99c75668-2119-449c-861f-1a86149451f9}" done="0">
    <x18tc:text xml:space="preserve">回覆者更新了這個值。</x18tc:text>
  </x18tc:threadedComment>
  <x18tc:threadedComment ref="X8" dT="2026-05-22T07:08:29.00" personId="{beb587ee-1646-499d-9986-ed07bf306224}" id="{8a7ee38a-f793-4fb5-bc4f-69c1731beeb7}" done="0">
    <x18tc:text xml:space="preserve">回覆者更新了這個值。</x18tc:text>
  </x18tc:threadedComment>
  <x18tc:threadedComment ref="I6" dT="2026-05-22T07:08:29.00" personId="{beb587ee-1646-499d-9986-ed07bf306224}" id="{c5514a14-e382-44db-acda-569ab19247f2}" done="0">
    <x18tc:text xml:space="preserve">回覆者更新了這個值。</x18tc:text>
  </x18tc:threadedComment>
  <x18tc:threadedComment ref="T8" dT="2026-05-22T07:08:29.00" personId="{beb587ee-1646-499d-9986-ed07bf306224}" id="{93e63b3c-ef2a-4b0f-95a7-81c487705656}" done="0">
    <x18tc:text xml:space="preserve">回覆者更新了這個值。</x18tc:text>
  </x18tc:threadedComment>
  <x18tc:threadedComment ref="T6" dT="2026-05-22T07:08:29.00" personId="{beb587ee-1646-499d-9986-ed07bf306224}" id="{80554aea-0652-4a5a-8e7e-03354b5efb04}" done="0">
    <x18tc:text xml:space="preserve">回覆者更新了這個值。</x18tc:text>
  </x18tc:threadedComment>
  <x18tc:threadedComment ref="L6" dT="2026-05-22T07:08:29.00" personId="{beb587ee-1646-499d-9986-ed07bf306224}" id="{2a90da83-1754-4d40-ab9f-0936dacaec67}" done="0">
    <x18tc:text xml:space="preserve">回覆者更新了這個值。</x18tc:text>
  </x18tc:threadedComment>
  <x18tc:threadedComment ref="N6" dT="2026-05-22T07:08:29.00" personId="{beb587ee-1646-499d-9986-ed07bf306224}" id="{f5d3c3fb-d0ad-4ef5-9c3b-cb3d4291d8e4}" done="0">
    <x18tc:text xml:space="preserve">回覆者更新了這個值。</x18tc:text>
  </x18tc:threadedComment>
  <x18tc:threadedComment ref="M20" dT="2026-05-22T07:08:29.00" personId="{beb587ee-1646-499d-9986-ed07bf306224}" id="{460499c4-b4f8-4c31-8f0f-616310860d79}" done="0">
    <x18tc:text xml:space="preserve">回覆者更新了這個值。</x18tc:text>
  </x18tc:threadedComment>
  <x18tc:threadedComment ref="X6" dT="2026-05-22T07:08:29.00" personId="{beb587ee-1646-499d-9986-ed07bf306224}" id="{de60ac1d-1810-4399-a000-e0a8971c858d}" done="0">
    <x18tc:text xml:space="preserve">回覆者更新了這個值。</x18tc:text>
  </x18tc:threadedComment>
  <x18tc:threadedComment ref="AD13" dT="2026-05-22T07:08:29.00" personId="{beb587ee-1646-499d-9986-ed07bf306224}" id="{812b4245-57f1-4b13-b08d-df4fe815aa85}" done="0">
    <x18tc:text xml:space="preserve">回覆者更新了這個值。</x18tc:text>
  </x18tc:threadedComment>
  <x18tc:threadedComment ref="W20" dT="2026-05-22T07:08:29.00" personId="{beb587ee-1646-499d-9986-ed07bf306224}" id="{2b262bc2-07d8-4817-8c34-c0141dd2edc8}" done="0">
    <x18tc:text xml:space="preserve">回覆者更新了這個值。</x18tc:text>
  </x18tc:threadedComment>
  <x18tc:threadedComment ref="G6" dT="2026-05-22T07:08:29.00" personId="{beb587ee-1646-499d-9986-ed07bf306224}" id="{2a45148a-6034-4e81-a355-14adf0b74bd0}" done="0">
    <x18tc:text xml:space="preserve">回覆者更新了這個值。</x18tc:text>
  </x18tc:threadedComment>
  <x18tc:threadedComment ref="U8" dT="2026-05-22T07:08:29.00" personId="{beb587ee-1646-499d-9986-ed07bf306224}" id="{c9426dd2-5c13-4fdf-99bd-4ffc44138ac1}" done="0">
    <x18tc:text xml:space="preserve">回覆者更新了這個值。</x18tc:text>
  </x18tc:threadedComment>
  <x18tc:threadedComment ref="H20" dT="2026-05-22T07:08:29.00" personId="{beb587ee-1646-499d-9986-ed07bf306224}" id="{17f753c0-c710-405a-8a20-ff602a50747b}" done="0">
    <x18tc:text xml:space="preserve">回覆者更新了這個值。</x18tc:text>
  </x18tc:threadedComment>
  <x18tc:threadedComment ref="AA6" dT="2026-05-22T07:08:29.00" personId="{beb587ee-1646-499d-9986-ed07bf306224}" id="{7c2682b9-2494-4339-9b55-a775ea0d00c3}" done="0">
    <x18tc:text xml:space="preserve">回覆者更新了這個值。</x18tc:text>
  </x18tc:threadedComment>
  <x18tc:threadedComment ref="B13" dT="2026-05-22T07:08:29.00" personId="{beb587ee-1646-499d-9986-ed07bf306224}" id="{2ba3f7c9-1e32-47f1-b262-efcec5c2c3e1}" done="0">
    <x18tc:text xml:space="preserve">回覆者更新了這個值。</x18tc:text>
  </x18tc:threadedComment>
  <x18tc:threadedComment ref="G10" dT="2026-05-22T07:08:29.00" personId="{beb587ee-1646-499d-9986-ed07bf306224}" id="{92c81085-5da5-4432-9321-1eb7de3d5342}" done="0">
    <x18tc:text xml:space="preserve">回覆者更新了這個值。</x18tc:text>
  </x18tc:threadedComment>
  <x18tc:threadedComment ref="E8" dT="2026-05-22T07:08:29.00" personId="{beb587ee-1646-499d-9986-ed07bf306224}" id="{ecb4a7c7-55e8-455f-ab18-65cb94a0fc86}" done="0">
    <x18tc:text xml:space="preserve">回覆者更新了這個值。</x18tc:text>
  </x18tc:threadedComment>
  <x18tc:threadedComment ref="W8" dT="2026-05-22T07:08:29.00" personId="{beb587ee-1646-499d-9986-ed07bf306224}" id="{1b7937b3-f2b2-46df-b61d-d20c408f5eb5}" done="0">
    <x18tc:text xml:space="preserve">回覆者更新了這個值。</x18tc:text>
  </x18tc:threadedComment>
  <x18tc:threadedComment ref="B16" dT="2026-05-22T07:08:29.00" personId="{beb587ee-1646-499d-9986-ed07bf306224}" id="{0e41eae5-feee-4521-a51c-7154114a0bd9}" done="0">
    <x18tc:text xml:space="preserve">回覆者更新了這個值。</x18tc:text>
  </x18tc:threadedComment>
  <x18tc:threadedComment ref="P16" dT="2026-05-22T07:08:29.00" personId="{beb587ee-1646-499d-9986-ed07bf306224}" id="{10b8b776-b684-45aa-a147-f08dee4f3201}" done="0">
    <x18tc:text xml:space="preserve">回覆者更新了這個值。</x18tc:text>
  </x18tc:threadedComment>
  <x18tc:threadedComment ref="P20" dT="2026-05-22T07:08:29.00" personId="{beb587ee-1646-499d-9986-ed07bf306224}" id="{090a792d-3ff0-4f51-8d9c-46c4e6490563}" done="0">
    <x18tc:text xml:space="preserve">回覆者更新了這個值。</x18tc:text>
  </x18tc:threadedComment>
  <x18tc:threadedComment ref="G8" dT="2026-05-22T07:08:29.00" personId="{beb587ee-1646-499d-9986-ed07bf306224}" id="{b7b81ef9-f82e-4dc6-bb85-cdc9e4629656}" done="0">
    <x18tc:text xml:space="preserve">回覆者更新了這個值。</x18tc:text>
  </x18tc:threadedComment>
  <x18tc:threadedComment ref="Q20" dT="2026-05-22T07:08:29.00" personId="{beb587ee-1646-499d-9986-ed07bf306224}" id="{01c09ead-3219-42f7-a421-634283414cfc}" done="0">
    <x18tc:text xml:space="preserve">回覆者更新了這個值。</x18tc:text>
  </x18tc:threadedComment>
  <x18tc:threadedComment ref="B11" dT="2026-05-22T07:08:29.00" personId="{beb587ee-1646-499d-9986-ed07bf306224}" id="{cf39bdb9-e751-4666-8faa-76e169af502d}" done="0">
    <x18tc:text xml:space="preserve">回覆者更新了這個值。</x18tc:text>
  </x18tc:threadedComment>
  <x18tc:threadedComment ref="G20" dT="2026-05-22T07:08:29.00" personId="{beb587ee-1646-499d-9986-ed07bf306224}" id="{e98edea3-c8c0-4351-a7d1-403d3d1f3113}" done="0">
    <x18tc:text xml:space="preserve">回覆者更新了這個值。</x18tc:text>
  </x18tc:threadedComment>
  <x18tc:threadedComment ref="AD20" dT="2026-05-22T07:08:29.00" personId="{beb587ee-1646-499d-9986-ed07bf306224}" id="{bd665d8d-06f4-42a7-83d0-bcef45556134}" done="0">
    <x18tc:text xml:space="preserve">回覆者更新了這個值。</x18tc:text>
  </x18tc:threadedComment>
  <x18tc:threadedComment ref="C11" dT="2026-05-22T07:08:29.00" personId="{beb587ee-1646-499d-9986-ed07bf306224}" id="{89f86198-6c2c-43b8-b543-b8ac42f11292}" done="0">
    <x18tc:text xml:space="preserve">回覆者更新了這個值。</x18tc:text>
  </x18tc:threadedComment>
  <x18tc:threadedComment ref="N8" dT="2026-05-22T07:08:29.00" personId="{beb587ee-1646-499d-9986-ed07bf306224}" id="{bec92d6c-b27a-4814-bc8b-4952147ea512}" done="0">
    <x18tc:text xml:space="preserve">回覆者更新了這個值。</x18tc:text>
  </x18tc:threadedComment>
  <x18tc:threadedComment ref="G16" dT="2026-05-22T07:08:29.00" personId="{beb587ee-1646-499d-9986-ed07bf306224}" id="{5310c3e9-7008-4729-8e28-0d7a948b052d}" done="0">
    <x18tc:text xml:space="preserve">回覆者更新了這個值。</x18tc:text>
  </x18tc:threadedComment>
  <x18tc:threadedComment ref="E20" dT="2026-05-22T07:08:29.00" personId="{beb587ee-1646-499d-9986-ed07bf306224}" id="{da4c796f-71c6-4b98-b1e3-ad7d620b1233}" done="0">
    <x18tc:text xml:space="preserve">回覆者更新了這個值。</x18tc:text>
  </x18tc:threadedComment>
  <x18tc:threadedComment ref="B10" dT="2026-05-22T07:08:29.00" personId="{beb587ee-1646-499d-9986-ed07bf306224}" id="{86b4f251-740e-4f65-9985-fde863425dd8}" done="0">
    <x18tc:text xml:space="preserve">回覆者更新了這個值。</x18tc:text>
  </x18tc:threadedComment>
  <x18tc:threadedComment ref="Z20" dT="2026-05-22T07:08:29.00" personId="{beb587ee-1646-499d-9986-ed07bf306224}" id="{c207f771-cfda-4c69-aa72-e167e6de7dd6}" done="0">
    <x18tc:text xml:space="preserve">回覆者更新了這個值。</x18tc:text>
  </x18tc:threadedComment>
  <x18tc:threadedComment ref="V20" dT="2026-05-22T07:08:29.00" personId="{beb587ee-1646-499d-9986-ed07bf306224}" id="{2e758c31-dc6f-4b8b-b1db-11ccf3d98a21}" done="0">
    <x18tc:text xml:space="preserve">回覆者更新了這個值。</x18tc:text>
  </x18tc:threadedComment>
  <x18tc:threadedComment ref="X20" dT="2026-05-22T07:08:29.00" personId="{beb587ee-1646-499d-9986-ed07bf306224}" id="{605842d7-23b7-40c2-8485-f040bdff13d0}" done="0">
    <x18tc:text xml:space="preserve">回覆者更新了這個值。</x18tc:text>
  </x18tc:threadedComment>
  <x18tc:threadedComment ref="O11" dT="2026-05-22T07:08:29.00" personId="{beb587ee-1646-499d-9986-ed07bf306224}" id="{10b89ba3-dd01-44f2-82c5-a7b31327475f}" done="0">
    <x18tc:text xml:space="preserve">回覆者更新了這個值。</x18tc:text>
  </x18tc:threadedComment>
  <x18tc:threadedComment ref="F8" dT="2026-05-22T07:08:29.00" personId="{beb587ee-1646-499d-9986-ed07bf306224}" id="{b7882d4f-5914-48fc-b7fe-1435c1fc7b41}" done="0">
    <x18tc:text xml:space="preserve">回覆者更新了這個值。</x18tc:text>
  </x18tc:threadedComment>
  <x18tc:threadedComment ref="K11" dT="2026-05-22T07:08:29.00" personId="{beb587ee-1646-499d-9986-ed07bf306224}" id="{65261e4a-20e3-4c31-8868-2d76eda74207}" done="0">
    <x18tc:text xml:space="preserve">回覆者更新了這個值。</x18tc:text>
  </x18tc:threadedComment>
  <x18tc:threadedComment ref="F11" dT="2026-05-22T07:08:29.00" personId="{beb587ee-1646-499d-9986-ed07bf306224}" id="{024d55c2-d8c5-4524-87f8-18e3bdef75c1}" done="0">
    <x18tc:text xml:space="preserve">回覆者更新了這個值。</x18tc:text>
  </x18tc:threadedComment>
  <x18tc:threadedComment ref="G13" dT="2026-05-22T07:08:29.00" personId="{beb587ee-1646-499d-9986-ed07bf306224}" id="{4b26efdf-d0c5-477c-993b-46fd9db86d2c}" done="0">
    <x18tc:text xml:space="preserve">回覆者更新了這個值。</x18tc:text>
  </x18tc:threadedComment>
  <x18tc:threadedComment ref="W11" dT="2026-05-22T07:08:29.00" personId="{beb587ee-1646-499d-9986-ed07bf306224}" id="{10d08e4d-7942-44ed-8fe3-53dde026e6c2}" done="0">
    <x18tc:text xml:space="preserve">回覆者更新了這個值。</x18tc:text>
  </x18tc:threadedComment>
  <x18tc:threadedComment ref="V8" dT="2026-05-22T07:08:29.00" personId="{beb587ee-1646-499d-9986-ed07bf306224}" id="{f79344f5-2a18-4cef-ab37-7ffa398e5aeb}" done="0">
    <x18tc:text xml:space="preserve">回覆者更新了這個值。</x18tc:text>
  </x18tc:threadedComment>
  <x18tc:threadedComment ref="M6" dT="2026-05-22T07:08:29.00" personId="{beb587ee-1646-499d-9986-ed07bf306224}" id="{ddc7d452-e612-40e8-87be-4d84a3897615}" done="0">
    <x18tc:text xml:space="preserve">回覆者更新了這個值。</x18tc:text>
  </x18tc:threadedComment>
  <x18tc:threadedComment ref="B20" dT="2026-05-22T07:08:29.00" personId="{beb587ee-1646-499d-9986-ed07bf306224}" id="{4ada8a1d-c386-4d95-b4aa-b476dacdbbe9}" done="0">
    <x18tc:text xml:space="preserve">回覆者更新了這個值。</x18tc:text>
  </x18tc:threadedComment>
  <x18tc:threadedComment ref="P6" dT="2026-05-22T07:08:29.00" personId="{beb587ee-1646-499d-9986-ed07bf306224}" id="{ca8a4798-ee86-4bf2-8b21-e1cc4bbf6af9}" done="0">
    <x18tc:text xml:space="preserve">回覆者更新了這個值。</x18tc:text>
  </x18tc:threadedComment>
  <x18tc:threadedComment ref="S6" dT="2026-05-22T07:08:29.00" personId="{beb587ee-1646-499d-9986-ed07bf306224}" id="{70b1ef61-a36a-4643-b2e9-dad52f860d1c}" done="0">
    <x18tc:text xml:space="preserve">回覆者更新了這個值。</x18tc:text>
  </x18tc:threadedComment>
  <x18tc:threadedComment ref="K16" dT="2026-05-22T07:08:29.00" personId="{beb587ee-1646-499d-9986-ed07bf306224}" id="{eb6b02ac-c601-4e02-a264-941f090b9391}" done="0">
    <x18tc:text xml:space="preserve">回覆者更新了這個值。</x18tc:text>
  </x18tc:threadedComment>
  <x18tc:threadedComment ref="E6" dT="2026-05-22T07:08:29.00" personId="{beb587ee-1646-499d-9986-ed07bf306224}" id="{4eee62b8-31e2-414e-991e-bcded48b61dd}" done="0">
    <x18tc:text xml:space="preserve">回覆者更新了這個值。</x18tc:text>
  </x18tc:threadedComment>
  <x18tc:threadedComment ref="I20" dT="2026-05-22T07:08:29.00" personId="{beb587ee-1646-499d-9986-ed07bf306224}" id="{837064ad-717a-4180-8a33-c2fe510b6605}" done="0">
    <x18tc:text xml:space="preserve">回覆者更新了這個值。</x18tc:text>
  </x18tc:threadedComment>
  <x18tc:threadedComment ref="E5" dT="2026-05-22T07:08:29.00" personId="{beb587ee-1646-499d-9986-ed07bf306224}" id="{37cb75f3-bcf2-4813-afd1-eba654766e3c}" done="0">
    <x18tc:text xml:space="preserve">回覆者更新了這個值。</x18tc:text>
  </x18tc:threadedComment>
  <x18tc:threadedComment ref="C5" dT="2026-05-22T07:08:29.00" personId="{beb587ee-1646-499d-9986-ed07bf306224}" id="{041b4863-adac-4f1a-9e9f-58b5fab3d3ed}" done="0">
    <x18tc:text xml:space="preserve">回覆者更新了這個值。</x18tc:text>
  </x18tc:threadedComment>
  <x18tc:threadedComment ref="P10" dT="2026-05-22T07:08:29.00" personId="{beb587ee-1646-499d-9986-ed07bf306224}" id="{d22ae587-3fe9-4421-9e79-d3cc8d01013b}" done="0">
    <x18tc:text xml:space="preserve">回覆者更新了這個值。</x18tc:text>
  </x18tc:threadedComment>
  <x18tc:threadedComment ref="C10" dT="2026-05-22T07:08:29.00" personId="{beb587ee-1646-499d-9986-ed07bf306224}" id="{87b292fb-7163-4fb3-89ca-a2943c6a30ca}" done="0">
    <x18tc:text xml:space="preserve">回覆者更新了這個值。</x18tc:text>
  </x18tc:threadedComment>
  <x18tc:threadedComment ref="G5" dT="2026-05-22T07:08:29.00" personId="{beb587ee-1646-499d-9986-ed07bf306224}" id="{027a5d93-94d7-4b62-a8d6-8b5da830030d}" done="0">
    <x18tc:text xml:space="preserve">回覆者更新了這個值。</x18tc:text>
  </x18tc:threadedComment>
  <x18tc:threadedComment ref="O6" dT="2026-05-22T07:08:29.00" personId="{beb587ee-1646-499d-9986-ed07bf306224}" id="{32610b18-4e7a-472b-820a-bc4eb09f9a5b}" done="0">
    <x18tc:text xml:space="preserve">回覆者更新了這個值。</x18tc:text>
  </x18tc:threadedComment>
  <x18tc:threadedComment ref="K10" dT="2026-05-22T07:08:29.00" personId="{beb587ee-1646-499d-9986-ed07bf306224}" id="{199bbfb2-0c65-4e85-9855-9baf9f3a784a}" done="0">
    <x18tc:text xml:space="preserve">回覆者更新了這個值。</x18tc:text>
  </x18tc:threadedComment>
  <x18tc:threadedComment ref="F6" dT="2026-05-22T07:08:29.00" personId="{beb587ee-1646-499d-9986-ed07bf306224}" id="{ccce9dae-4b61-4a83-bb8f-8fd84ac7236a}" done="0">
    <x18tc:text xml:space="preserve">回覆者更新了這個值。</x18tc:text>
  </x18tc:threadedComment>
  <x18tc:threadedComment ref="G9" dT="2026-05-22T07:08:29.00" personId="{beb587ee-1646-499d-9986-ed07bf306224}" id="{fdc02f7c-8780-4c98-9e7a-6a072c4f69c6}" done="0">
    <x18tc:text xml:space="preserve">回覆者更新了這個值。</x18tc:text>
  </x18tc:threadedComment>
  <x18tc:threadedComment ref="T20" dT="2026-05-22T07:08:29.00" personId="{beb587ee-1646-499d-9986-ed07bf306224}" id="{f2a907c0-b26a-43aa-b4cd-0dab36731bec}" done="0">
    <x18tc:text xml:space="preserve">回覆者更新了這個值。</x18tc:text>
  </x18tc:threadedComment>
  <x18tc:threadedComment ref="S20" dT="2026-05-22T07:08:29.00" personId="{beb587ee-1646-499d-9986-ed07bf306224}" id="{260fe725-8048-4d18-a70f-a3f933ca4f4e}" done="0">
    <x18tc:text xml:space="preserve">回覆者更新了這個值。</x18tc:text>
  </x18tc:threadedComment>
  <x18tc:threadedComment ref="C20" dT="2026-05-22T07:08:29.00" personId="{beb587ee-1646-499d-9986-ed07bf306224}" id="{cf12da9b-a054-4d0e-87a6-3cd614f1c0f8}" done="0">
    <x18tc:text xml:space="preserve">回覆者更新了這個值。</x18tc:text>
  </x18tc:threadedComment>
  <x18tc:threadedComment ref="B6" dT="2026-05-22T07:08:29.00" personId="{beb587ee-1646-499d-9986-ed07bf306224}" id="{400ca944-a4cf-4105-ba8e-42afec6f5d7c}" done="0">
    <x18tc:text xml:space="preserve">回覆者更新了這個值。</x18tc:text>
  </x18tc:threadedComment>
  <x18tc:threadedComment ref="K20" dT="2026-05-22T07:08:29.00" personId="{beb587ee-1646-499d-9986-ed07bf306224}" id="{5aa15e38-8f40-4101-a9d5-597490c3e42f}" done="0">
    <x18tc:text xml:space="preserve">回覆者更新了這個值。</x18tc:text>
  </x18tc:threadedComment>
  <x18tc:threadedComment ref="U20" dT="2026-05-22T07:08:29.00" personId="{beb587ee-1646-499d-9986-ed07bf306224}" id="{1d0520a3-c423-40bf-aa1d-300241bd5021}" done="0">
    <x18tc:text xml:space="preserve">回覆者更新了這個值。</x18tc:text>
  </x18tc:threadedComment>
  <x18tc:threadedComment ref="N11" dT="2026-05-22T07:08:29.00" personId="{beb587ee-1646-499d-9986-ed07bf306224}" id="{c5d95662-0687-4983-a862-5d1c541e8a06}" done="0">
    <x18tc:text xml:space="preserve">回覆者更新了這個值。</x18tc:text>
  </x18tc:threadedComment>
  <x18tc:threadedComment ref="F5" dT="2026-05-22T07:08:29.00" personId="{beb587ee-1646-499d-9986-ed07bf306224}" id="{3162c799-33e9-4fcf-a5e2-ef50ecb5d25d}" done="0">
    <x18tc:text xml:space="preserve">回覆者更新了這個值。</x18tc:text>
  </x18tc:threadedComment>
  <x18tc:threadedComment ref="G11" dT="2026-05-22T07:08:29.00" personId="{beb587ee-1646-499d-9986-ed07bf306224}" id="{942f6ec2-b27d-4cdf-939d-d7f85c872ca2}" done="0">
    <x18tc:text xml:space="preserve">回覆者更新了這個值。</x18tc:text>
  </x18tc:threadedComment>
  <x18tc:threadedComment ref="AA8" dT="2026-05-22T07:08:29.00" personId="{beb587ee-1646-499d-9986-ed07bf306224}" id="{c56d04ea-25d6-426f-9fd3-58acd2a89a8b}" done="0">
    <x18tc:text xml:space="preserve">回覆者更新了這個值。</x18tc:text>
  </x18tc:threadedComment>
  <x18tc:threadedComment ref="L20" dT="2026-05-22T07:08:29.00" personId="{beb587ee-1646-499d-9986-ed07bf306224}" id="{2613dada-ace0-455c-b284-bd1978f5ad87}" done="0">
    <x18tc:text xml:space="preserve">回覆者更新了這個值。</x18tc:text>
  </x18tc:threadedComment>
  <x18tc:threadedComment ref="F13" dT="2026-05-22T07:08:29.00" personId="{beb587ee-1646-499d-9986-ed07bf306224}" id="{929a9cc9-0b43-42de-b51e-bc16fbce0044}" done="0">
    <x18tc:text xml:space="preserve">回覆者更新了這個值。</x18tc:text>
  </x18tc:threadedComment>
  <x18tc:threadedComment ref="Q6" dT="2026-05-22T07:08:29.00" personId="{beb587ee-1646-499d-9986-ed07bf306224}" id="{d6e1b713-942b-47f4-8715-0c8c4b30bf54}" done="0">
    <x18tc:text xml:space="preserve">回覆者更新了這個值。</x18tc:text>
  </x18tc:threadedComment>
  <x18tc:threadedComment ref="AB6" dT="2026-05-22T07:08:29.00" personId="{beb587ee-1646-499d-9986-ed07bf306224}" id="{2840d4a4-a640-4e58-b18f-243e02e55a18}" done="0">
    <x18tc:text xml:space="preserve">回覆者更新了這個值。</x18tc:text>
  </x18tc:threadedComment>
  <x18tc:threadedComment ref="H6" dT="2026-05-22T07:08:29.00" personId="{beb587ee-1646-499d-9986-ed07bf306224}" id="{9166c7ce-2842-42df-9eb0-fdcc604c4635}" done="0">
    <x18tc:text xml:space="preserve">回覆者更新了這個值。</x18tc:text>
  </x18tc:threadedComment>
  <x18tc:threadedComment ref="B5" dT="2026-05-22T07:08:29.00" personId="{beb587ee-1646-499d-9986-ed07bf306224}" id="{b33de3fa-6bf5-4c5a-9fed-c465d995298e}" done="0">
    <x18tc:text xml:space="preserve">回覆者更新了這個值。</x18tc:text>
  </x18tc:threadedComment>
  <x18tc:threadedComment ref="C8" dT="2026-05-22T07:08:29.00" personId="{beb587ee-1646-499d-9986-ed07bf306224}" id="{a9870afc-daa1-4ae5-8f6d-ea1d2fae8a16}" done="0">
    <x18tc:text xml:space="preserve">回覆者更新了這個值。</x18tc:text>
  </x18tc:threadedComment>
  <x18tc:threadedComment ref="W16" dT="2026-05-22T07:08:29.00" personId="{beb587ee-1646-499d-9986-ed07bf306224}" id="{2b2650be-9d8f-4847-8dea-69ad0b684421}" done="0">
    <x18tc:text xml:space="preserve">回覆者更新了這個值。</x18tc:text>
  </x18tc:threadedComment>
  <x18tc:threadedComment ref="N20" dT="2026-05-22T07:08:29.00" personId="{beb587ee-1646-499d-9986-ed07bf306224}" id="{80c93ce9-c842-4d7c-a5d4-4a37fa467b64}" done="0">
    <x18tc:text xml:space="preserve">回覆者更新了這個值。</x18tc:text>
  </x18tc:threadedComment>
  <x18tc:threadedComment ref="R11" dT="2026-05-22T07:08:29.00" personId="{beb587ee-1646-499d-9986-ed07bf306224}" id="{d5996a7b-a399-4e51-8945-b0cb42cce79c}" done="0">
    <x18tc:text xml:space="preserve">回覆者更新了這個值。</x18tc:text>
  </x18tc:threadedComment>
  <x18tc:threadedComment ref="N5" dT="2026-05-22T07:08:29.00" personId="{beb587ee-1646-499d-9986-ed07bf306224}" id="{e791d372-6564-4eb6-9879-f44fee7ad328}" done="0">
    <x18tc:text xml:space="preserve">回覆者更新了這個值。</x18tc:text>
  </x18tc:threadedComment>
  <x18tc:threadedComment ref="T11" dT="2026-05-22T07:08:29.00" personId="{beb587ee-1646-499d-9986-ed07bf306224}" id="{cc7cedd0-0f46-46c2-8182-58276ef46541}" done="0">
    <x18tc:text xml:space="preserve">回覆者更新了這個值。</x18tc:text>
  </x18tc:threadedComment>
  <x18tc:threadedComment ref="T16" dT="2026-05-22T07:08:29.00" personId="{beb587ee-1646-499d-9986-ed07bf306224}" id="{89360f0e-1c65-4389-a8f9-0d0ff11d6fed}" done="0">
    <x18tc:text xml:space="preserve">回覆者更新了這個值。</x18tc:text>
  </x18tc:threadedComment>
  <x18tc:threadedComment ref="Y5" dT="2026-05-22T07:08:29.00" personId="{beb587ee-1646-499d-9986-ed07bf306224}" id="{4e1fc4b2-aa04-4611-8f35-3f2a78765cde}" done="0">
    <x18tc:text xml:space="preserve">回覆者更新了這個值。</x18tc:text>
  </x18tc:threadedComment>
  <x18tc:threadedComment ref="K6" dT="2026-05-22T07:08:29.00" personId="{beb587ee-1646-499d-9986-ed07bf306224}" id="{1eff1874-703e-4e37-9f60-65d9d91cc8e1}" done="0">
    <x18tc:text xml:space="preserve">回覆者更新了這個值。</x18tc:text>
  </x18tc:threadedComment>
  <x18tc:threadedComment ref="C6" dT="2026-05-22T07:08:29.00" personId="{beb587ee-1646-499d-9986-ed07bf306224}" id="{49b7a051-77ec-4d82-84d2-9a7524e3a284}" done="0">
    <x18tc:text xml:space="preserve">回覆者更新了這個值。</x18tc:text>
  </x18tc:threadedComment>
  <x18tc:threadedComment ref="J6" dT="2026-05-22T07:08:29.00" personId="{beb587ee-1646-499d-9986-ed07bf306224}" id="{bf2170d3-d148-4008-ab9c-3c86d4eac6df}" done="0">
    <x18tc:text xml:space="preserve">回覆者更新了這個值。</x18tc:text>
  </x18tc:threadedComment>
  <x18tc:threadedComment ref="P11" dT="2026-05-22T07:08:29.00" personId="{beb587ee-1646-499d-9986-ed07bf306224}" id="{370dbb23-9094-483d-b12d-c7d739a571a0}" done="0">
    <x18tc:text xml:space="preserve">回覆者更新了這個值。</x18tc:text>
  </x18tc:threadedComment>
  <x18tc:threadedComment ref="F20" dT="2026-05-22T07:08:29.00" personId="{beb587ee-1646-499d-9986-ed07bf306224}" id="{42be9527-188a-4dd9-84ac-50f2cdaea3d8}" done="0">
    <x18tc:text xml:space="preserve">回覆者更新了這個值。</x18tc:text>
  </x18tc:threadedComment>
  <x18tc:threadedComment ref="P8" dT="2026-05-22T07:08:29.00" personId="{beb587ee-1646-499d-9986-ed07bf306224}" id="{90faa102-6ab3-407a-aa9e-b8f3c95e195a}" done="0">
    <x18tc:text xml:space="preserve">回覆者更新了這個值。</x18tc:text>
  </x18tc:threadedComment>
  <x18tc:threadedComment ref="B8" dT="2026-05-22T07:08:29.00" personId="{beb587ee-1646-499d-9986-ed07bf306224}" id="{d7252b68-fe72-458d-9f0e-7585d0290316}" done="0">
    <x18tc:text xml:space="preserve">回覆者更新了這個值。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.garmin.com/sttsgarmi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book.com/share/18FcvE3SrM/?mibextid=wwXIfr" TargetMode="External"/><Relationship Id="rId10" Type="http://schemas.openxmlformats.org/officeDocument/2006/relationships/hyperlink" Target="https://www.facebook.com/share/1Cj373UwWa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facebook.com/share/19UEh2BWiS/?mibextid=wwXIfr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facebook.com/profile.php?id=100011330507694" TargetMode="External"/><Relationship Id="rId9" Type="http://schemas.openxmlformats.org/officeDocument/2006/relationships/hyperlink" Target="https://www.facebook.com/crazie.kuo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www.facebook.com/share/KD6oNSX6DdMYHvW4/" TargetMode="External"/><Relationship Id="rId6" Type="http://schemas.openxmlformats.org/officeDocument/2006/relationships/hyperlink" Target="https://www.facebook.com/profile.php?id=100002945606561" TargetMode="External"/><Relationship Id="rId7" Type="http://schemas.openxmlformats.org/officeDocument/2006/relationships/hyperlink" Target="https://www.facebook.com/profile.php?id=100006236040371" TargetMode="External"/><Relationship Id="rId8" Type="http://schemas.openxmlformats.org/officeDocument/2006/relationships/hyperlink" Target="https://www.facebook.com/share/1E5diB4wxx/?mibextid=wwXIfr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eepon.com.tw/thread-5b781d20-0b75-ec11-815e-901b0e54a4e6.html" TargetMode="External"/><Relationship Id="rId22" Type="http://schemas.openxmlformats.org/officeDocument/2006/relationships/hyperlink" Target="https://hiking.biji.co/index.php?q=trail&amp;act=gpx_detail&amp;id=843706" TargetMode="External"/><Relationship Id="rId21" Type="http://schemas.openxmlformats.org/officeDocument/2006/relationships/hyperlink" Target="https://www.ptt.cc/bbs/sttmountain/M.1627129403.A.6CA.html" TargetMode="External"/><Relationship Id="rId24" Type="http://schemas.openxmlformats.org/officeDocument/2006/relationships/hyperlink" Target="https://photos.app.goo.gl/WPvvWaFRJNhzjbJ98" TargetMode="External"/><Relationship Id="rId23" Type="http://schemas.openxmlformats.org/officeDocument/2006/relationships/hyperlink" Target="https://u.pcloud.link/publink/show?code=kZrOat5Z60Uwi78Aoh0NKhgVNh6x1YR0xl8k" TargetMode="External"/><Relationship Id="rId1" Type="http://schemas.openxmlformats.org/officeDocument/2006/relationships/hyperlink" Target="https://www.keepon.com.tw/thread-7b47a509-10d8-e411-93ec-000e04b74954.html" TargetMode="External"/><Relationship Id="rId2" Type="http://schemas.openxmlformats.org/officeDocument/2006/relationships/hyperlink" Target="https://www.keepon.com.tw/thread-9078f29d-15d8-e411-93ec-000e04b74954.html" TargetMode="External"/><Relationship Id="rId3" Type="http://schemas.openxmlformats.org/officeDocument/2006/relationships/hyperlink" Target="https://share.garmin.com/sttsgarmin" TargetMode="External"/><Relationship Id="rId4" Type="http://schemas.openxmlformats.org/officeDocument/2006/relationships/hyperlink" Target="https://tcmb.culture.tw/zh-tw/detail?indexCode=Culture_Object&amp;id=270813" TargetMode="External"/><Relationship Id="rId9" Type="http://schemas.openxmlformats.org/officeDocument/2006/relationships/hyperlink" Target="https://www.cwa.gov.tw/V8/C/P/QPF.html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s://explore.garmin.com/" TargetMode="External"/><Relationship Id="rId6" Type="http://schemas.openxmlformats.org/officeDocument/2006/relationships/hyperlink" Target="https://dl.lib.ntu.edu.tw/s/forest/item/94488" TargetMode="External"/><Relationship Id="rId7" Type="http://schemas.openxmlformats.org/officeDocument/2006/relationships/hyperlink" Target="https://www.cwa.gov.tw/V8/C/W/Town/Town.html?TID=1001332" TargetMode="External"/><Relationship Id="rId8" Type="http://schemas.openxmlformats.org/officeDocument/2006/relationships/hyperlink" Target="https://www.cwa.gov.tw/V8/C/W/Town/Town.html?TID=1001415" TargetMode="External"/><Relationship Id="rId11" Type="http://schemas.openxmlformats.org/officeDocument/2006/relationships/hyperlink" Target="https://www.windy.com/22.347/120.768?22.352,120.796,13" TargetMode="External"/><Relationship Id="rId10" Type="http://schemas.openxmlformats.org/officeDocument/2006/relationships/hyperlink" Target="https://www.cwa.gov.tw/V8/C/W/index.html" TargetMode="External"/><Relationship Id="rId13" Type="http://schemas.openxmlformats.org/officeDocument/2006/relationships/hyperlink" Target="https://www.facebook.com/groups/138744813447101" TargetMode="External"/><Relationship Id="rId12" Type="http://schemas.openxmlformats.org/officeDocument/2006/relationships/hyperlink" Target="https://www.ventusky.com/zh-tw/22.347;120.768" TargetMode="External"/><Relationship Id="rId15" Type="http://schemas.openxmlformats.org/officeDocument/2006/relationships/hyperlink" Target="https://wiwari.github.io/accTW/?" TargetMode="External"/><Relationship Id="rId14" Type="http://schemas.openxmlformats.org/officeDocument/2006/relationships/hyperlink" Target="https://www.facebook.com/groups/1653614654914504" TargetMode="External"/><Relationship Id="rId17" Type="http://schemas.openxmlformats.org/officeDocument/2006/relationships/hyperlink" Target="https://www.cwa.gov.tw/V8/C/W/analysis.html" TargetMode="External"/><Relationship Id="rId16" Type="http://schemas.openxmlformats.org/officeDocument/2006/relationships/hyperlink" Target="https://codis.cwa.gov.tw/StationData" TargetMode="External"/><Relationship Id="rId19" Type="http://schemas.openxmlformats.org/officeDocument/2006/relationships/hyperlink" Target="https://drive.google.com/drive/folders/1kAv-IE8zi6j2GUbdnX_49hH--nAnMORg?usp=sharing" TargetMode="External"/><Relationship Id="rId18" Type="http://schemas.openxmlformats.org/officeDocument/2006/relationships/hyperlink" Target="https://maps.nlsc.gov.tw/T09/mapshow.action?In_type=we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sample@yahoo.com.tw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0"/>
    <col customWidth="1" min="2" max="2" width="10.22"/>
    <col customWidth="1" min="3" max="3" width="10.89"/>
    <col customWidth="1" min="4" max="4" width="12.89"/>
    <col customWidth="1" min="5" max="5" width="26.78"/>
    <col customWidth="1" min="6" max="6" width="11.44"/>
    <col customWidth="1" min="7" max="7" width="10.89"/>
  </cols>
  <sheetData>
    <row r="1" ht="13.5" customHeight="1">
      <c r="A1" s="1"/>
      <c r="B1" s="1"/>
      <c r="C1" s="1"/>
      <c r="D1" s="1"/>
      <c r="E1" s="1"/>
      <c r="F1" s="1"/>
      <c r="G1" s="2" t="s">
        <v>0</v>
      </c>
    </row>
    <row r="2" ht="42.75" customHeight="1">
      <c r="A2" s="3" t="s">
        <v>1</v>
      </c>
      <c r="B2" s="4"/>
      <c r="C2" s="4"/>
      <c r="D2" s="5" t="s">
        <v>2</v>
      </c>
      <c r="E2" s="6"/>
      <c r="F2" s="7" t="s">
        <v>3</v>
      </c>
      <c r="G2" s="6"/>
    </row>
    <row r="3" ht="20.25" customHeight="1">
      <c r="A3" s="8" t="s">
        <v>4</v>
      </c>
      <c r="B3" s="9"/>
      <c r="C3" s="10" t="s">
        <v>5</v>
      </c>
      <c r="D3" s="4"/>
      <c r="E3" s="6"/>
      <c r="F3" s="11" t="s">
        <v>6</v>
      </c>
      <c r="G3" s="6"/>
    </row>
    <row r="4" ht="20.25" customHeight="1">
      <c r="A4" s="12"/>
      <c r="B4" s="13"/>
      <c r="C4" s="14" t="s">
        <v>7</v>
      </c>
      <c r="D4" s="15"/>
      <c r="E4" s="13"/>
      <c r="F4" s="11" t="s">
        <v>8</v>
      </c>
      <c r="G4" s="6"/>
    </row>
    <row r="5" ht="20.25" customHeight="1">
      <c r="A5" s="16" t="s">
        <v>9</v>
      </c>
      <c r="B5" s="17"/>
      <c r="C5" s="18" t="s">
        <v>10</v>
      </c>
      <c r="D5" s="9"/>
      <c r="E5" s="19" t="s">
        <v>11</v>
      </c>
      <c r="F5" s="20" t="str">
        <f>"共 計  17  人"</f>
        <v>共 計  17  人</v>
      </c>
      <c r="G5" s="6"/>
    </row>
    <row r="6" ht="20.25" customHeight="1">
      <c r="A6" s="12"/>
      <c r="B6" s="13"/>
      <c r="C6" s="16" t="s">
        <v>12</v>
      </c>
      <c r="D6" s="21"/>
      <c r="E6" s="17"/>
      <c r="F6" s="22" t="str">
        <f>"男 9 人 - 女 8 人"</f>
        <v>男 9 人 - 女 8 人</v>
      </c>
      <c r="G6" s="13"/>
    </row>
    <row r="7" ht="20.25" customHeight="1">
      <c r="A7" s="8" t="s">
        <v>13</v>
      </c>
      <c r="B7" s="23" t="s">
        <v>14</v>
      </c>
      <c r="C7" s="4"/>
      <c r="D7" s="6"/>
      <c r="E7" s="24" t="s">
        <v>15</v>
      </c>
      <c r="F7" s="25" t="s">
        <v>16</v>
      </c>
      <c r="G7" s="25" t="s">
        <v>17</v>
      </c>
    </row>
    <row r="8" ht="47.25" customHeight="1">
      <c r="A8" s="26"/>
      <c r="B8" s="25" t="s">
        <v>18</v>
      </c>
      <c r="C8" s="27" t="s">
        <v>19</v>
      </c>
      <c r="D8" s="15"/>
      <c r="E8" s="15"/>
      <c r="F8" s="28" t="s">
        <v>20</v>
      </c>
      <c r="G8" s="28" t="s">
        <v>21</v>
      </c>
    </row>
    <row r="9" ht="47.25" customHeight="1">
      <c r="A9" s="26"/>
      <c r="B9" s="25" t="s">
        <v>22</v>
      </c>
      <c r="C9" s="29" t="s">
        <v>23</v>
      </c>
      <c r="D9" s="15"/>
      <c r="E9" s="30"/>
      <c r="F9" s="28" t="s">
        <v>24</v>
      </c>
      <c r="G9" s="25" t="s">
        <v>24</v>
      </c>
    </row>
    <row r="10" ht="44.25" customHeight="1">
      <c r="A10" s="26"/>
      <c r="B10" s="25" t="s">
        <v>25</v>
      </c>
      <c r="C10" s="31" t="s">
        <v>26</v>
      </c>
      <c r="D10" s="4"/>
      <c r="E10" s="32"/>
      <c r="F10" s="28" t="s">
        <v>27</v>
      </c>
      <c r="G10" s="28" t="s">
        <v>24</v>
      </c>
    </row>
    <row r="11" ht="42.75" customHeight="1">
      <c r="A11" s="26"/>
      <c r="B11" s="25" t="s">
        <v>28</v>
      </c>
      <c r="C11" s="31" t="s">
        <v>29</v>
      </c>
      <c r="D11" s="4"/>
      <c r="E11" s="32"/>
      <c r="F11" s="28" t="s">
        <v>30</v>
      </c>
      <c r="G11" s="25" t="s">
        <v>24</v>
      </c>
    </row>
    <row r="12" ht="24.0" customHeight="1">
      <c r="A12" s="26"/>
      <c r="B12" s="16" t="s">
        <v>31</v>
      </c>
      <c r="C12" s="33" t="s">
        <v>32</v>
      </c>
      <c r="D12" s="21"/>
      <c r="E12" s="17"/>
      <c r="F12" s="34" t="s">
        <v>33</v>
      </c>
      <c r="G12" s="17"/>
    </row>
    <row r="13" ht="32.25" customHeight="1">
      <c r="A13" s="26"/>
      <c r="B13" s="12"/>
      <c r="C13" s="12"/>
      <c r="D13" s="15"/>
      <c r="E13" s="13"/>
      <c r="G13" s="9"/>
    </row>
    <row r="14" ht="52.5" customHeight="1">
      <c r="A14" s="26"/>
      <c r="B14" s="16" t="s">
        <v>34</v>
      </c>
      <c r="C14" s="33" t="s">
        <v>35</v>
      </c>
      <c r="D14" s="21"/>
      <c r="E14" s="17"/>
      <c r="F14" s="15"/>
      <c r="G14" s="13"/>
    </row>
    <row r="15" ht="33.0" customHeight="1">
      <c r="A15" s="12"/>
      <c r="B15" s="16" t="s">
        <v>36</v>
      </c>
      <c r="C15" s="35" t="s">
        <v>37</v>
      </c>
      <c r="D15" s="36"/>
      <c r="E15" s="37"/>
      <c r="F15" s="38" t="s">
        <v>38</v>
      </c>
      <c r="G15" s="17"/>
    </row>
    <row r="16" ht="18.0" customHeight="1">
      <c r="A16" s="39" t="s">
        <v>39</v>
      </c>
      <c r="B16" s="40"/>
      <c r="C16" s="41" t="s">
        <v>40</v>
      </c>
      <c r="D16" s="41" t="s">
        <v>41</v>
      </c>
      <c r="E16" s="22" t="s">
        <v>42</v>
      </c>
      <c r="F16" s="42" t="s">
        <v>43</v>
      </c>
      <c r="G16" s="43"/>
    </row>
    <row r="17" ht="38.25" customHeight="1">
      <c r="A17" s="44"/>
      <c r="B17" s="3" t="s">
        <v>44</v>
      </c>
      <c r="C17" s="25" t="s">
        <v>45</v>
      </c>
      <c r="D17" s="45" t="s">
        <v>46</v>
      </c>
      <c r="E17" s="16" t="s">
        <v>47</v>
      </c>
      <c r="F17" s="46"/>
      <c r="G17" s="47"/>
    </row>
    <row r="18" ht="18.0" customHeight="1">
      <c r="A18" s="44"/>
      <c r="B18" s="16" t="s">
        <v>48</v>
      </c>
      <c r="C18" s="48" t="s">
        <v>49</v>
      </c>
      <c r="D18" s="49" t="s">
        <v>50</v>
      </c>
      <c r="E18" s="50" t="s">
        <v>51</v>
      </c>
      <c r="F18" s="51" t="s">
        <v>52</v>
      </c>
      <c r="G18" s="52"/>
    </row>
    <row r="19" ht="18.0" customHeight="1">
      <c r="A19" s="44"/>
      <c r="B19" s="26"/>
      <c r="C19" s="53"/>
      <c r="D19" s="9"/>
      <c r="E19" s="51" t="s">
        <v>53</v>
      </c>
      <c r="F19" s="51" t="s">
        <v>54</v>
      </c>
      <c r="G19" s="52"/>
    </row>
    <row r="20" ht="18.0" customHeight="1">
      <c r="A20" s="44"/>
      <c r="B20" s="12"/>
      <c r="C20" s="54"/>
      <c r="D20" s="13"/>
      <c r="E20" s="51" t="s">
        <v>55</v>
      </c>
      <c r="F20" s="55" t="s">
        <v>56</v>
      </c>
      <c r="G20" s="52"/>
    </row>
    <row r="21" ht="18.0" customHeight="1">
      <c r="A21" s="44"/>
      <c r="B21" s="3" t="s">
        <v>57</v>
      </c>
      <c r="C21" s="25" t="s">
        <v>45</v>
      </c>
      <c r="D21" s="45" t="s">
        <v>46</v>
      </c>
      <c r="E21" s="56" t="s">
        <v>58</v>
      </c>
      <c r="F21" s="55" t="s">
        <v>59</v>
      </c>
      <c r="G21" s="57"/>
    </row>
    <row r="22" ht="18.0" customHeight="1">
      <c r="A22" s="58"/>
      <c r="B22" s="59" t="s">
        <v>60</v>
      </c>
      <c r="C22" s="48" t="s">
        <v>61</v>
      </c>
      <c r="D22" s="60" t="s">
        <v>62</v>
      </c>
      <c r="E22" s="56" t="s">
        <v>63</v>
      </c>
      <c r="F22" s="51" t="s">
        <v>64</v>
      </c>
      <c r="G22" s="57"/>
    </row>
    <row r="23" ht="18.75" customHeight="1">
      <c r="A23" s="39" t="s">
        <v>65</v>
      </c>
      <c r="B23" s="40"/>
      <c r="C23" s="40" t="s">
        <v>66</v>
      </c>
      <c r="D23" s="40" t="s">
        <v>67</v>
      </c>
      <c r="E23" s="61" t="s">
        <v>68</v>
      </c>
      <c r="F23" s="62"/>
      <c r="G23" s="43"/>
    </row>
    <row r="24" ht="31.5" customHeight="1">
      <c r="A24" s="44"/>
      <c r="B24" s="25" t="s">
        <v>69</v>
      </c>
      <c r="C24" s="63" t="s">
        <v>70</v>
      </c>
      <c r="D24" s="63" t="s">
        <v>71</v>
      </c>
      <c r="E24" s="11" t="s">
        <v>72</v>
      </c>
      <c r="F24" s="4"/>
      <c r="G24" s="64"/>
    </row>
    <row r="25" ht="18.75" customHeight="1">
      <c r="A25" s="44"/>
      <c r="B25" s="65" t="s">
        <v>73</v>
      </c>
      <c r="C25" s="66" t="s">
        <v>73</v>
      </c>
      <c r="D25" s="67" t="s">
        <v>74</v>
      </c>
      <c r="E25" s="68"/>
      <c r="F25" s="15"/>
      <c r="G25" s="69"/>
    </row>
    <row r="26" ht="18.75" customHeight="1">
      <c r="A26" s="44"/>
      <c r="B26" s="70" t="s">
        <v>75</v>
      </c>
      <c r="C26" s="66"/>
      <c r="D26" s="67" t="s">
        <v>76</v>
      </c>
      <c r="E26" s="68" t="s">
        <v>77</v>
      </c>
      <c r="F26" s="15"/>
      <c r="G26" s="69"/>
    </row>
    <row r="27" ht="18.75" customHeight="1">
      <c r="A27" s="58"/>
      <c r="B27" s="59"/>
      <c r="C27" s="71"/>
      <c r="D27" s="71"/>
      <c r="E27" s="72"/>
      <c r="F27" s="36"/>
      <c r="G27" s="47"/>
    </row>
    <row r="28" ht="13.5" customHeight="1">
      <c r="A28" s="55"/>
      <c r="B28" s="55"/>
      <c r="C28" s="55"/>
      <c r="D28" s="55"/>
      <c r="E28" s="51"/>
      <c r="G28" s="1"/>
    </row>
    <row r="29" ht="13.5" customHeight="1">
      <c r="A29" s="73"/>
      <c r="B29" s="1"/>
      <c r="C29" s="1"/>
      <c r="D29" s="1"/>
      <c r="E29" s="1"/>
      <c r="F29" s="1"/>
      <c r="G29" s="2" t="s">
        <v>78</v>
      </c>
    </row>
    <row r="30" ht="16.5" customHeight="1">
      <c r="A30" s="3" t="s">
        <v>79</v>
      </c>
      <c r="B30" s="6"/>
      <c r="C30" s="48" t="s">
        <v>80</v>
      </c>
      <c r="D30" s="48" t="s">
        <v>81</v>
      </c>
      <c r="E30" s="48" t="s">
        <v>82</v>
      </c>
      <c r="F30" s="3" t="s">
        <v>83</v>
      </c>
      <c r="G30" s="6"/>
    </row>
    <row r="31" ht="53.25" customHeight="1">
      <c r="A31" s="74"/>
      <c r="B31" s="6"/>
      <c r="C31" s="75"/>
      <c r="D31" s="75"/>
      <c r="E31" s="76" t="str">
        <f>"= 50 * 16人 * "&amp;COUNTA(B9:B11)&amp;"夜"&amp;char(10)&amp;"= 山防費 $ 2400"</f>
        <v>= 50 * 16人 * 3夜
= 山防費 $ 2400</v>
      </c>
      <c r="F31" s="77"/>
      <c r="G31" s="6"/>
    </row>
    <row r="32" ht="16.5" customHeight="1">
      <c r="A32" s="74" t="s">
        <v>84</v>
      </c>
      <c r="B32" s="4"/>
      <c r="C32" s="53"/>
      <c r="D32" s="78"/>
      <c r="E32" s="78"/>
      <c r="F32" s="77"/>
      <c r="G32" s="6"/>
    </row>
    <row r="33" ht="58.5" customHeight="1">
      <c r="A33" s="79"/>
      <c r="B33" s="13"/>
      <c r="C33" s="54"/>
      <c r="D33" s="80"/>
      <c r="E33" s="80"/>
      <c r="F33" s="81" t="s">
        <v>85</v>
      </c>
      <c r="G33" s="6"/>
    </row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30:B30"/>
    <mergeCell ref="A31:B31"/>
    <mergeCell ref="A3:B4"/>
    <mergeCell ref="A5:B6"/>
    <mergeCell ref="A7:A15"/>
    <mergeCell ref="B12:B13"/>
    <mergeCell ref="A16:A22"/>
    <mergeCell ref="B18:B20"/>
    <mergeCell ref="A23:A27"/>
    <mergeCell ref="F4:G4"/>
    <mergeCell ref="F5:G5"/>
    <mergeCell ref="A2:C2"/>
    <mergeCell ref="D2:E2"/>
    <mergeCell ref="F2:G2"/>
    <mergeCell ref="C3:E3"/>
    <mergeCell ref="F3:G3"/>
    <mergeCell ref="C4:E4"/>
    <mergeCell ref="C5:D5"/>
    <mergeCell ref="C6:E6"/>
    <mergeCell ref="F6:G6"/>
    <mergeCell ref="B7:D7"/>
    <mergeCell ref="C8:E8"/>
    <mergeCell ref="C9:E9"/>
    <mergeCell ref="C10:E10"/>
    <mergeCell ref="C11:E11"/>
    <mergeCell ref="C18:C20"/>
    <mergeCell ref="D18:D20"/>
    <mergeCell ref="C31:C33"/>
    <mergeCell ref="A32:B32"/>
    <mergeCell ref="A33:B33"/>
    <mergeCell ref="C12:E13"/>
    <mergeCell ref="F12:G14"/>
    <mergeCell ref="C14:E14"/>
    <mergeCell ref="C15:E15"/>
    <mergeCell ref="F15:G15"/>
    <mergeCell ref="F16:G16"/>
    <mergeCell ref="F17:G17"/>
    <mergeCell ref="E25:G25"/>
    <mergeCell ref="E26:G26"/>
    <mergeCell ref="E27:G27"/>
    <mergeCell ref="E28:F28"/>
    <mergeCell ref="F30:G30"/>
    <mergeCell ref="F31:G31"/>
    <mergeCell ref="F32:G32"/>
    <mergeCell ref="F33:G33"/>
    <mergeCell ref="F18:G18"/>
    <mergeCell ref="F19:G19"/>
    <mergeCell ref="F20:G20"/>
    <mergeCell ref="F21:G21"/>
    <mergeCell ref="F22:G22"/>
    <mergeCell ref="E23:G23"/>
    <mergeCell ref="E24:G24"/>
  </mergeCells>
  <printOptions horizontalCentered="1" verticalCentered="1"/>
  <pageMargins bottom="0.3937007874015748" footer="0.0" header="0.0" left="0.3937007874015748" right="0.39370078740157477" top="0.3937007874015748"/>
  <pageSetup paperSize="9" scale="8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.11"/>
    <col customWidth="1" min="2" max="2" width="3.0"/>
    <col customWidth="1" min="3" max="3" width="9.67"/>
    <col customWidth="1" min="4" max="4" width="3.89"/>
    <col customWidth="1" min="5" max="5" width="9.56"/>
    <col customWidth="1" min="6" max="6" width="2.89"/>
    <col customWidth="1" min="7" max="7" width="8.44"/>
    <col customWidth="1" min="8" max="8" width="2.89"/>
    <col customWidth="1" min="9" max="9" width="3.44"/>
    <col customWidth="1" min="10" max="10" width="3.89"/>
    <col customWidth="1" min="11" max="11" width="15.44"/>
    <col customWidth="1" min="12" max="12" width="4.44"/>
    <col customWidth="1" min="13" max="13" width="6.67"/>
    <col customWidth="1" min="14" max="14" width="5.56"/>
    <col customWidth="1" min="15" max="15" width="6.11"/>
  </cols>
  <sheetData>
    <row r="1" ht="33.75" customHeight="1">
      <c r="A1" s="82"/>
      <c r="B1" s="83" t="str">
        <f>'直企P1(列印)'!D2</f>
        <v>茶茶牙頓出西都驕溪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ht="19.5" customHeight="1">
      <c r="A2" s="84"/>
      <c r="B2" s="22" t="s">
        <v>86</v>
      </c>
      <c r="C2" s="15"/>
      <c r="D2" s="15"/>
      <c r="E2" s="15"/>
      <c r="F2" s="15"/>
      <c r="G2" s="15"/>
      <c r="H2" s="15"/>
      <c r="I2" s="15"/>
      <c r="J2" s="15"/>
      <c r="K2" s="15"/>
      <c r="L2" s="13"/>
      <c r="M2" s="85" t="s">
        <v>87</v>
      </c>
      <c r="N2" s="86"/>
      <c r="O2" s="87"/>
    </row>
    <row r="3" ht="20.25" customHeight="1">
      <c r="A3" s="88"/>
      <c r="B3" s="89" t="s">
        <v>88</v>
      </c>
      <c r="C3" s="84" t="s">
        <v>89</v>
      </c>
      <c r="D3" s="25">
        <v>0.0</v>
      </c>
      <c r="E3" s="25" t="s">
        <v>90</v>
      </c>
      <c r="F3" s="25">
        <v>0.0</v>
      </c>
      <c r="G3" s="25" t="s">
        <v>91</v>
      </c>
      <c r="H3" s="25">
        <v>4.0</v>
      </c>
      <c r="I3" s="90" t="s">
        <v>92</v>
      </c>
      <c r="J3" s="90" t="s">
        <v>93</v>
      </c>
      <c r="K3" s="48" t="s">
        <v>94</v>
      </c>
      <c r="L3" s="91">
        <v>1.0</v>
      </c>
      <c r="M3" s="92" t="s">
        <v>95</v>
      </c>
      <c r="N3" s="93" t="s">
        <v>96</v>
      </c>
      <c r="O3" s="94"/>
    </row>
    <row r="4" ht="20.25" customHeight="1">
      <c r="A4" s="88"/>
      <c r="B4" s="53"/>
      <c r="C4" s="25" t="s">
        <v>97</v>
      </c>
      <c r="D4" s="25">
        <v>2.0</v>
      </c>
      <c r="E4" s="25" t="s">
        <v>98</v>
      </c>
      <c r="F4" s="25">
        <v>0.0</v>
      </c>
      <c r="G4" s="25" t="s">
        <v>99</v>
      </c>
      <c r="H4" s="25">
        <v>4.0</v>
      </c>
      <c r="I4" s="53"/>
      <c r="J4" s="53"/>
      <c r="K4" s="95"/>
      <c r="M4" s="96" t="s">
        <v>100</v>
      </c>
      <c r="N4" s="97" t="s">
        <v>101</v>
      </c>
      <c r="O4" s="98"/>
    </row>
    <row r="5" ht="21.75" customHeight="1">
      <c r="A5" s="88"/>
      <c r="B5" s="53"/>
      <c r="C5" s="25" t="s">
        <v>102</v>
      </c>
      <c r="D5" s="25">
        <v>8.0</v>
      </c>
      <c r="E5" s="25" t="s">
        <v>103</v>
      </c>
      <c r="F5" s="25">
        <v>4.0</v>
      </c>
      <c r="G5" s="25" t="s">
        <v>104</v>
      </c>
      <c r="H5" s="25">
        <v>4.0</v>
      </c>
      <c r="I5" s="53"/>
      <c r="J5" s="53"/>
      <c r="K5" s="41"/>
      <c r="L5" s="84"/>
      <c r="M5" s="99"/>
      <c r="N5" s="12"/>
      <c r="O5" s="100"/>
    </row>
    <row r="6" ht="20.25" customHeight="1">
      <c r="A6" s="88"/>
      <c r="B6" s="53"/>
      <c r="C6" s="25" t="s">
        <v>105</v>
      </c>
      <c r="D6" s="25">
        <v>16.0</v>
      </c>
      <c r="E6" s="25" t="s">
        <v>106</v>
      </c>
      <c r="F6" s="25">
        <v>2.0</v>
      </c>
      <c r="G6" s="25" t="s">
        <v>107</v>
      </c>
      <c r="H6" s="25">
        <v>3.0</v>
      </c>
      <c r="I6" s="53"/>
      <c r="J6" s="54"/>
      <c r="K6" s="70"/>
      <c r="L6" s="101"/>
      <c r="M6" s="102" t="s">
        <v>108</v>
      </c>
      <c r="N6" s="103" t="s">
        <v>109</v>
      </c>
      <c r="O6" s="57"/>
    </row>
    <row r="7" ht="20.25" customHeight="1">
      <c r="A7" s="88"/>
      <c r="B7" s="53"/>
      <c r="C7" s="25" t="s">
        <v>110</v>
      </c>
      <c r="D7" s="25">
        <v>16.0</v>
      </c>
      <c r="E7" s="25" t="s">
        <v>111</v>
      </c>
      <c r="F7" s="25">
        <v>0.0</v>
      </c>
      <c r="G7" s="25" t="s">
        <v>112</v>
      </c>
      <c r="H7" s="25">
        <v>2.0</v>
      </c>
      <c r="I7" s="53"/>
      <c r="J7" s="104" t="s">
        <v>113</v>
      </c>
      <c r="K7" s="41" t="s">
        <v>114</v>
      </c>
      <c r="L7" s="105">
        <v>1.0</v>
      </c>
      <c r="M7" s="106" t="s">
        <v>90</v>
      </c>
      <c r="N7" s="107" t="s">
        <v>115</v>
      </c>
      <c r="O7" s="98"/>
    </row>
    <row r="8" ht="20.25" customHeight="1">
      <c r="A8" s="88"/>
      <c r="B8" s="53"/>
      <c r="C8" s="48" t="s">
        <v>116</v>
      </c>
      <c r="D8" s="48">
        <v>2.0</v>
      </c>
      <c r="E8" s="108" t="s">
        <v>117</v>
      </c>
      <c r="F8" s="48">
        <v>1.0</v>
      </c>
      <c r="G8" s="48" t="s">
        <v>118</v>
      </c>
      <c r="H8" s="48">
        <v>2.0</v>
      </c>
      <c r="I8" s="53"/>
      <c r="J8" s="26"/>
      <c r="K8" s="41" t="s">
        <v>119</v>
      </c>
      <c r="L8" s="109">
        <v>1.0</v>
      </c>
      <c r="M8" s="102" t="s">
        <v>120</v>
      </c>
      <c r="N8" s="110">
        <v>0.8333333333333334</v>
      </c>
      <c r="O8" s="57"/>
    </row>
    <row r="9" ht="20.25" customHeight="1">
      <c r="A9" s="88"/>
      <c r="B9" s="54"/>
      <c r="C9" s="25" t="s">
        <v>121</v>
      </c>
      <c r="D9" s="25">
        <v>2.0</v>
      </c>
      <c r="E9" s="111" t="s">
        <v>122</v>
      </c>
      <c r="F9" s="25">
        <v>4.0</v>
      </c>
      <c r="G9" s="25" t="s">
        <v>123</v>
      </c>
      <c r="H9" s="25"/>
      <c r="I9" s="54"/>
      <c r="J9" s="12"/>
      <c r="K9" s="70" t="s">
        <v>124</v>
      </c>
      <c r="L9" s="112">
        <v>1.0</v>
      </c>
      <c r="M9" s="102"/>
      <c r="N9" s="113"/>
      <c r="O9" s="57"/>
    </row>
    <row r="10" ht="20.25" customHeight="1">
      <c r="A10" s="114"/>
      <c r="B10" s="115" t="s">
        <v>125</v>
      </c>
      <c r="C10" s="21"/>
      <c r="D10" s="116" t="s">
        <v>126</v>
      </c>
      <c r="E10" s="21"/>
      <c r="F10" s="21"/>
      <c r="G10" s="21"/>
      <c r="H10" s="21"/>
      <c r="I10" s="21"/>
      <c r="J10" s="21"/>
      <c r="K10" s="21"/>
      <c r="L10" s="117"/>
      <c r="M10" s="118"/>
      <c r="N10" s="119"/>
      <c r="O10" s="98"/>
    </row>
    <row r="11" ht="20.25" customHeight="1">
      <c r="A11" s="120"/>
      <c r="B11" s="121" t="s">
        <v>127</v>
      </c>
      <c r="C11" s="122"/>
      <c r="D11" s="123" t="s">
        <v>128</v>
      </c>
      <c r="E11" s="15"/>
      <c r="F11" s="15"/>
      <c r="G11" s="15"/>
      <c r="H11" s="15"/>
      <c r="I11" s="15"/>
      <c r="J11" s="15"/>
      <c r="K11" s="15"/>
      <c r="L11" s="69"/>
      <c r="M11" s="124" t="s">
        <v>129</v>
      </c>
      <c r="N11" s="125" t="s">
        <v>130</v>
      </c>
      <c r="O11" s="126"/>
    </row>
    <row r="12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</row>
    <row r="13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2" t="s">
        <v>131</v>
      </c>
    </row>
    <row r="14" ht="20.25" customHeight="1">
      <c r="A14" s="108"/>
      <c r="B14" s="74" t="s">
        <v>132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</row>
    <row r="15" ht="39.0" customHeight="1">
      <c r="A15" s="127"/>
      <c r="B15" s="128" t="s">
        <v>133</v>
      </c>
      <c r="C15" s="6"/>
      <c r="D15" s="128" t="s">
        <v>134</v>
      </c>
      <c r="E15" s="6"/>
      <c r="F15" s="20" t="s">
        <v>135</v>
      </c>
      <c r="G15" s="6"/>
      <c r="H15" s="128" t="s">
        <v>136</v>
      </c>
      <c r="I15" s="4"/>
      <c r="J15" s="6"/>
      <c r="K15" s="128" t="s">
        <v>137</v>
      </c>
      <c r="L15" s="6"/>
      <c r="M15" s="129" t="s">
        <v>138</v>
      </c>
      <c r="N15" s="129" t="s">
        <v>139</v>
      </c>
      <c r="O15" s="129" t="s">
        <v>140</v>
      </c>
    </row>
    <row r="16" ht="33.75" customHeight="1">
      <c r="A16" s="108" t="s">
        <v>141</v>
      </c>
      <c r="B16" s="74" t="str">
        <f>'人員資料表'!K5&amp;CHAR(10)&amp;'人員資料表'!L5</f>
        <v>土木114
E64102038</v>
      </c>
      <c r="C16" s="6"/>
      <c r="D16" s="74" t="str">
        <f>'人員資料表'!E5&amp;CHAR(10)&amp;'人員資料表'!J5</f>
        <v>程效賢
0939952841</v>
      </c>
      <c r="E16" s="6"/>
      <c r="F16" s="3" t="str">
        <f>'人員資料表'!G5</f>
        <v>A/奇萊東稜下嵐山</v>
      </c>
      <c r="G16" s="6"/>
      <c r="H16" s="130" t="str">
        <f>'人員資料表'!M5&amp;CHAR(10)&amp;TEXT('人員資料表'!N5,"yyyy/mm/dd")</f>
        <v>F131195218
2002/09/17</v>
      </c>
      <c r="I16" s="4"/>
      <c r="J16" s="6"/>
      <c r="K16" s="74" t="str">
        <f>'人員資料表'!P5&amp;CHAR(10)&amp;'人員資料表'!Q5</f>
        <v>金愛君（母子）
0952952841</v>
      </c>
      <c r="L16" s="6"/>
      <c r="M16" s="111" t="str">
        <f>'人員資料表'!S5</f>
        <v>B</v>
      </c>
      <c r="N16" s="111" t="str">
        <f>'人員資料表'!T5</f>
        <v>NKDA</v>
      </c>
      <c r="O16" s="131"/>
    </row>
    <row r="17" ht="39.0" customHeight="1">
      <c r="A17" s="132" t="s">
        <v>142</v>
      </c>
      <c r="B17" s="74" t="str">
        <f>'人員資料表'!K6&amp;CHAR(10)&amp;'人員資料表'!L6</f>
        <v>水利114
E84104034</v>
      </c>
      <c r="C17" s="6"/>
      <c r="D17" s="74" t="str">
        <f>'人員資料表'!E6&amp;CHAR(10)&amp;'人員資料表'!J6</f>
        <v>宋侑達
0966139234</v>
      </c>
      <c r="E17" s="6"/>
      <c r="F17" s="3" t="str">
        <f>'人員資料表'!G6</f>
        <v>B活/大壩聖稜</v>
      </c>
      <c r="G17" s="6"/>
      <c r="H17" s="130" t="str">
        <f>'人員資料表'!M6&amp;CHAR(10)&amp;TEXT('人員資料表'!N6,"yyyy/mm/dd")</f>
        <v>L125840395
2002/12/01</v>
      </c>
      <c r="I17" s="4"/>
      <c r="J17" s="6"/>
      <c r="K17" s="74" t="str">
        <f>'人員資料表'!P6&amp;CHAR(10)&amp;'人員資料表'!Q6</f>
        <v>宋坤龍（父子）
0928542036</v>
      </c>
      <c r="L17" s="6"/>
      <c r="M17" s="111" t="str">
        <f>'人員資料表'!S6</f>
        <v>A</v>
      </c>
      <c r="N17" s="111" t="str">
        <f>'人員資料表'!T6</f>
        <v>NKDA</v>
      </c>
      <c r="O17" s="131"/>
    </row>
    <row r="18" ht="39.0" customHeight="1">
      <c r="A18" s="108" t="s">
        <v>143</v>
      </c>
      <c r="B18" s="74" t="str">
        <f>'人員資料表'!K7&amp;CHAR(10)&amp;'人員資料表'!L7</f>
        <v>地科114
C44106206</v>
      </c>
      <c r="C18" s="6"/>
      <c r="D18" s="74" t="str">
        <f>'人員資料表'!E7&amp;CHAR(10)&amp;'人員資料表'!J7</f>
        <v>陳柏亨
0905377012</v>
      </c>
      <c r="E18" s="6"/>
      <c r="F18" s="3" t="str">
        <f>'人員資料表'!G7</f>
        <v>12A 童話嘆息</v>
      </c>
      <c r="G18" s="6"/>
      <c r="H18" s="130" t="str">
        <f>'人員資料表'!M7&amp;CHAR(10)&amp;TEXT('人員資料表'!N7,"yyyy/mm/dd")</f>
        <v>E125475393
2003/05/29</v>
      </c>
      <c r="I18" s="4"/>
      <c r="J18" s="6"/>
      <c r="K18" s="74" t="str">
        <f>'人員資料表'!P7&amp;CHAR(10)&amp;'人員資料表'!Q7</f>
        <v>張文瀞（母子）
0929331445</v>
      </c>
      <c r="L18" s="6"/>
      <c r="M18" s="111" t="str">
        <f>'人員資料表'!S7</f>
        <v>B</v>
      </c>
      <c r="N18" s="111" t="str">
        <f>'人員資料表'!T7</f>
        <v>無</v>
      </c>
      <c r="O18" s="131"/>
    </row>
    <row r="19" ht="39.0" customHeight="1">
      <c r="A19" s="108"/>
      <c r="B19" s="74" t="str">
        <f>'人員資料表'!K8&amp;CHAR(10)&amp;'人員資料表'!L8</f>
        <v>牙醫115
I94096024</v>
      </c>
      <c r="C19" s="6"/>
      <c r="D19" s="74" t="str">
        <f>'人員資料表'!E8&amp;CHAR(10)&amp;'人員資料表'!J8</f>
        <v>張薰慈
0976818408</v>
      </c>
      <c r="E19" s="6"/>
      <c r="F19" s="3" t="str">
        <f>'人員資料表'!G8</f>
        <v>A/知本林鐵</v>
      </c>
      <c r="G19" s="6"/>
      <c r="H19" s="130" t="str">
        <f>'人員資料表'!M8&amp;CHAR(10)&amp;TEXT('人員資料表'!N8,"yyyy/mm/dd")</f>
        <v>F230782791
2001/10/20</v>
      </c>
      <c r="I19" s="4"/>
      <c r="J19" s="6"/>
      <c r="K19" s="74" t="str">
        <f>'人員資料表'!P8&amp;CHAR(10)&amp;'人員資料表'!Q8</f>
        <v>徐碧卿（母女）
0976533082</v>
      </c>
      <c r="L19" s="6"/>
      <c r="M19" s="111" t="str">
        <f>'人員資料表'!S8</f>
        <v>O</v>
      </c>
      <c r="N19" s="111" t="str">
        <f>'人員資料表'!T8</f>
        <v>無</v>
      </c>
      <c r="O19" s="131"/>
    </row>
    <row r="20" ht="39.0" customHeight="1">
      <c r="A20" s="108"/>
      <c r="B20" s="74" t="str">
        <f>'人員資料表'!K9&amp;CHAR(10)&amp;'人員資料表'!L9</f>
        <v>資訊115
AN4116063</v>
      </c>
      <c r="C20" s="6"/>
      <c r="D20" s="74" t="str">
        <f>'人員資料表'!E9&amp;CHAR(10)&amp;'人員資料表'!J9</f>
        <v>陳莉臻
0905574912</v>
      </c>
      <c r="E20" s="6"/>
      <c r="F20" s="3" t="str">
        <f>'人員資料表'!G9</f>
        <v>B/剩餞</v>
      </c>
      <c r="G20" s="6"/>
      <c r="H20" s="130" t="str">
        <f>'人員資料表'!M9&amp;CHAR(10)&amp;TEXT('人員資料表'!N9,"yyyy/mm/dd")</f>
        <v>O200644071
2004/02/27</v>
      </c>
      <c r="I20" s="4"/>
      <c r="J20" s="6"/>
      <c r="K20" s="74" t="str">
        <f>'人員資料表'!P9&amp;CHAR(10)&amp;'人員資料表'!Q9</f>
        <v>張雅惠（母女）
0922313887</v>
      </c>
      <c r="L20" s="6"/>
      <c r="M20" s="111" t="str">
        <f>'人員資料表'!S9</f>
        <v>AB</v>
      </c>
      <c r="N20" s="111" t="str">
        <f>'人員資料表'!T9</f>
        <v>NKDA</v>
      </c>
      <c r="O20" s="131"/>
    </row>
    <row r="21" ht="39.0" customHeight="1">
      <c r="A21" s="108"/>
      <c r="B21" s="74" t="str">
        <f>'人員資料表'!K10&amp;CHAR(10)&amp;'人員資料表'!L10</f>
        <v>心理117
D84136014</v>
      </c>
      <c r="C21" s="6"/>
      <c r="D21" s="74" t="str">
        <f>'人員資料表'!E10&amp;CHAR(10)&amp;'人員資料表'!J10</f>
        <v>張仁熏
0912683511</v>
      </c>
      <c r="E21" s="6"/>
      <c r="F21" s="3" t="str">
        <f>'人員資料表'!G10</f>
        <v>A/知本林鐵</v>
      </c>
      <c r="G21" s="6"/>
      <c r="H21" s="130" t="str">
        <f>'人員資料表'!M10&amp;CHAR(10)&amp;TEXT('人員資料表'!N10,"yyyy/mm/dd")</f>
        <v>A132077143
2006/05/08</v>
      </c>
      <c r="I21" s="4"/>
      <c r="J21" s="6"/>
      <c r="K21" s="74" t="str">
        <f>'人員資料表'!P10&amp;CHAR(10)&amp;'人員資料表'!Q10</f>
        <v>蔡茵如（母子）
0921308802</v>
      </c>
      <c r="L21" s="6"/>
      <c r="M21" s="111" t="str">
        <f>'人員資料表'!S10</f>
        <v>O</v>
      </c>
      <c r="N21" s="111" t="str">
        <f>'人員資料表'!T10</f>
        <v>無</v>
      </c>
      <c r="O21" s="131"/>
    </row>
    <row r="22" ht="35.25" customHeight="1">
      <c r="A22" s="108"/>
      <c r="B22" s="74" t="str">
        <f>'人員資料表'!K11&amp;CHAR(10)&amp;'人員資料表'!L11</f>
        <v>生科碩二
L56134166</v>
      </c>
      <c r="C22" s="6"/>
      <c r="D22" s="74" t="str">
        <f>'人員資料表'!E11&amp;CHAR(10)&amp;'人員資料表'!J11</f>
        <v>曾翔鈺
0926801336</v>
      </c>
      <c r="E22" s="6"/>
      <c r="F22" s="3" t="str">
        <f>'人員資料表'!G11</f>
        <v>8B/丹大溫泉</v>
      </c>
      <c r="G22" s="6"/>
      <c r="H22" s="130" t="str">
        <f>'人員資料表'!M11&amp;CHAR(10)&amp;TEXT('人員資料表'!N11,"yyyy/mm/dd")</f>
        <v>A230567431
2001/06/29</v>
      </c>
      <c r="I22" s="4"/>
      <c r="J22" s="6"/>
      <c r="K22" s="74" t="str">
        <f>'人員資料表'!P11&amp;CHAR(10)&amp;'人員資料表'!Q11</f>
        <v>曾厚勳（父女）
0927238063</v>
      </c>
      <c r="L22" s="6"/>
      <c r="M22" s="111" t="str">
        <f>'人員資料表'!S11</f>
        <v>B</v>
      </c>
      <c r="N22" s="111" t="str">
        <f>'人員資料表'!T11</f>
        <v>NKDA</v>
      </c>
      <c r="O22" s="131"/>
    </row>
    <row r="23" ht="35.25" customHeight="1">
      <c r="A23" s="108"/>
      <c r="B23" s="74" t="str">
        <f>'人員資料表'!K12&amp;CHAR(10)&amp;'人員資料表'!L12</f>
        <v>建研所
E74096035</v>
      </c>
      <c r="C23" s="6"/>
      <c r="D23" s="74" t="str">
        <f>'人員資料表'!E12&amp;CHAR(10)&amp;'人員資料表'!J12</f>
        <v>李思誼
0985204657</v>
      </c>
      <c r="E23" s="6"/>
      <c r="F23" s="3" t="str">
        <f>'人員資料表'!G12</f>
        <v>8B勘/巴冷公主撞月樹</v>
      </c>
      <c r="G23" s="6"/>
      <c r="H23" s="130" t="str">
        <f>'人員資料表'!M12&amp;CHAR(10)&amp;TEXT('人員資料表'!N12,"yyyy/mm/dd")</f>
        <v>F230379909
2001/11/19</v>
      </c>
      <c r="I23" s="4"/>
      <c r="J23" s="6"/>
      <c r="K23" s="74" t="str">
        <f>'人員資料表'!P12&amp;CHAR(10)&amp;'人員資料表'!Q12</f>
        <v>李昭俊（父女）
0922023106</v>
      </c>
      <c r="L23" s="6"/>
      <c r="M23" s="111" t="str">
        <f>'人員資料表'!S12</f>
        <v>O</v>
      </c>
      <c r="N23" s="111" t="str">
        <f>'人員資料表'!T12</f>
        <v>NKDA</v>
      </c>
      <c r="O23" s="131"/>
    </row>
    <row r="24" ht="35.25" customHeight="1">
      <c r="A24" s="108"/>
      <c r="B24" s="74" t="str">
        <f>'人員資料表'!K13&amp;CHAR(10)&amp;'人員資料表'!L13</f>
        <v>資源所112
N46114213</v>
      </c>
      <c r="C24" s="6"/>
      <c r="D24" s="74" t="str">
        <f>'人員資料表'!E13&amp;CHAR(10)&amp;'人員資料表'!J13</f>
        <v>楊育銘
0986873262</v>
      </c>
      <c r="E24" s="6"/>
      <c r="F24" s="3" t="str">
        <f>'人員資料表'!G13</f>
        <v>C活/西拉歐卡</v>
      </c>
      <c r="G24" s="6"/>
      <c r="H24" s="130" t="str">
        <f>'人員資料表'!M13&amp;CHAR(10)&amp;TEXT('人員資料表'!N13,"yyyy/mm/dd")</f>
        <v>A127342866
1999/08/20</v>
      </c>
      <c r="I24" s="4"/>
      <c r="J24" s="6"/>
      <c r="K24" s="74" t="str">
        <f>'人員資料表'!P13&amp;CHAR(10)&amp;'人員資料表'!Q13</f>
        <v>楊定恭（父子）
0963278285</v>
      </c>
      <c r="L24" s="6"/>
      <c r="M24" s="111" t="str">
        <f>'人員資料表'!S13</f>
        <v>O</v>
      </c>
      <c r="N24" s="111" t="str">
        <f>'人員資料表'!T13</f>
        <v>NKDA</v>
      </c>
      <c r="O24" s="131"/>
    </row>
    <row r="25" ht="35.25" customHeight="1">
      <c r="A25" s="108" t="s">
        <v>144</v>
      </c>
      <c r="B25" s="74" t="str">
        <f>'人員資料表'!K14&amp;CHAR(10)&amp;'人員資料表'!L14</f>
        <v>土木118
E64141090</v>
      </c>
      <c r="C25" s="6"/>
      <c r="D25" s="74" t="str">
        <f>'人員資料表'!E14&amp;CHAR(10)&amp;'人員資料表'!J14</f>
        <v>邱以昕
0978001281</v>
      </c>
      <c r="E25" s="6"/>
      <c r="F25" s="3" t="str">
        <f>'人員資料表'!G14</f>
        <v>C/忘了</v>
      </c>
      <c r="G25" s="6"/>
      <c r="H25" s="130" t="str">
        <f>'人員資料表'!M14&amp;CHAR(10)&amp;TEXT('人員資料表'!N14,"yyyy/mm/dd")</f>
        <v>A132065296
2007/07/29</v>
      </c>
      <c r="I25" s="4"/>
      <c r="J25" s="6"/>
      <c r="K25" s="74" t="str">
        <f>'人員資料表'!P14&amp;CHAR(10)&amp;'人員資料表'!Q14</f>
        <v>邱威凱（父子）
0972811139</v>
      </c>
      <c r="L25" s="6"/>
      <c r="M25" s="111" t="str">
        <f>'人員資料表'!S14</f>
        <v>O</v>
      </c>
      <c r="N25" s="111" t="str">
        <f>'人員資料表'!T14</f>
        <v>NKDA</v>
      </c>
      <c r="O25" s="131"/>
    </row>
    <row r="26" ht="35.25" customHeight="1">
      <c r="A26" s="108"/>
      <c r="B26" s="74" t="str">
        <f>'人員資料表'!K15&amp;CHAR(10)&amp;'人員資料表'!L15</f>
        <v>航太118
F44141151</v>
      </c>
      <c r="C26" s="6"/>
      <c r="D26" s="74" t="str">
        <f>'人員資料表'!E15&amp;CHAR(10)&amp;'人員資料表'!J15</f>
        <v>劉祐任
0934212106</v>
      </c>
      <c r="E26" s="6"/>
      <c r="F26" s="3" t="str">
        <f>'人員資料表'!G15</f>
        <v>D/大眾化白雪村採樟腦</v>
      </c>
      <c r="G26" s="6"/>
      <c r="H26" s="130" t="str">
        <f>'人員資料表'!M15&amp;CHAR(10)&amp;TEXT('人員資料表'!N15,"yyyy/mm/dd")</f>
        <v>N126883789
2006/02/20</v>
      </c>
      <c r="I26" s="4"/>
      <c r="J26" s="6"/>
      <c r="K26" s="74" t="str">
        <f>'人員資料表'!P15&amp;CHAR(10)&amp;'人員資料表'!Q15</f>
        <v>劉玠庭（父子）
0953080665</v>
      </c>
      <c r="L26" s="6"/>
      <c r="M26" s="111" t="str">
        <f>'人員資料表'!S15</f>
        <v>O</v>
      </c>
      <c r="N26" s="111" t="str">
        <f>'人員資料表'!T15</f>
        <v>無NKDA</v>
      </c>
      <c r="O26" s="131"/>
    </row>
    <row r="27" ht="35.25" customHeight="1">
      <c r="A27" s="108"/>
      <c r="B27" s="74" t="str">
        <f>'人員資料表'!K16&amp;CHAR(10)&amp;'人員資料表'!L16</f>
        <v>台文118
B54144726</v>
      </c>
      <c r="C27" s="6"/>
      <c r="D27" s="74" t="str">
        <f>'人員資料表'!E16&amp;CHAR(10)&amp;'人員資料表'!J16</f>
        <v>郭佳宛
0906871119</v>
      </c>
      <c r="E27" s="6"/>
      <c r="F27" s="3" t="str">
        <f>'人員資料表'!G16</f>
        <v>C/萬山岩雕</v>
      </c>
      <c r="G27" s="6"/>
      <c r="H27" s="130" t="str">
        <f>'人員資料表'!M16&amp;CHAR(10)&amp;TEXT('人員資料表'!N16,"yyyy/mm/dd")</f>
        <v>N226495432
2006/11/09</v>
      </c>
      <c r="I27" s="4"/>
      <c r="J27" s="6"/>
      <c r="K27" s="74" t="str">
        <f>'人員資料表'!P16&amp;CHAR(10)&amp;'人員資料表'!Q16</f>
        <v>劉婉慧（母女）
0918879151</v>
      </c>
      <c r="L27" s="6"/>
      <c r="M27" s="111" t="str">
        <f>'人員資料表'!S16</f>
        <v>A</v>
      </c>
      <c r="N27" s="111" t="str">
        <f>'人員資料表'!T16</f>
        <v>NKDA</v>
      </c>
      <c r="O27" s="131"/>
    </row>
    <row r="28" ht="35.25" customHeight="1">
      <c r="A28" s="108"/>
      <c r="B28" s="74" t="str">
        <f>'人員資料表'!K17&amp;CHAR(10)&amp;'人員資料表'!L17</f>
        <v>生科碩一
L56144137</v>
      </c>
      <c r="C28" s="6"/>
      <c r="D28" s="74" t="str">
        <f>'人員資料表'!E17&amp;CHAR(10)&amp;'人員資料表'!J17</f>
        <v>蔡岳承
0909323691</v>
      </c>
      <c r="E28" s="6"/>
      <c r="F28" s="3" t="str">
        <f>'人員資料表'!G17</f>
        <v>D勘/蛟龍爬去哪</v>
      </c>
      <c r="G28" s="6"/>
      <c r="H28" s="130" t="str">
        <f>'人員資料表'!M17&amp;CHAR(10)&amp;TEXT('人員資料表'!N17,"yyyy/mm/dd")</f>
        <v>B123726590
2002/05/27</v>
      </c>
      <c r="I28" s="4"/>
      <c r="J28" s="6"/>
      <c r="K28" s="74" t="str">
        <f>'人員資料表'!P17&amp;CHAR(10)&amp;'人員資料表'!Q17</f>
        <v>蔡至強（父子）
0923309046</v>
      </c>
      <c r="L28" s="6"/>
      <c r="M28" s="111" t="str">
        <f>'人員資料表'!S17</f>
        <v>O</v>
      </c>
      <c r="N28" s="111" t="str">
        <f>'人員資料表'!T17</f>
        <v>無</v>
      </c>
      <c r="O28" s="131"/>
    </row>
    <row r="29" ht="35.25" customHeight="1">
      <c r="A29" s="108"/>
      <c r="B29" s="74" t="str">
        <f>'人員資料表'!K18&amp;CHAR(10)&amp;'人員資料表'!L18</f>
        <v>心理117
D84134020</v>
      </c>
      <c r="C29" s="6"/>
      <c r="D29" s="74" t="str">
        <f>'人員資料表'!E18&amp;CHAR(10)&amp;'人員資料表'!J18</f>
        <v>張婷萱
0918023813</v>
      </c>
      <c r="E29" s="6"/>
      <c r="F29" s="3" t="str">
        <f>'人員資料表'!G18</f>
        <v>D/大眾化白雪村採樟腦</v>
      </c>
      <c r="G29" s="6"/>
      <c r="H29" s="130" t="str">
        <f>'人員資料表'!M18&amp;CHAR(10)&amp;TEXT('人員資料表'!N18,"yyyy/mm/dd")</f>
        <v>S225265256
2005/10/17</v>
      </c>
      <c r="I29" s="4"/>
      <c r="J29" s="6"/>
      <c r="K29" s="74" t="str">
        <f>'人員資料表'!P18&amp;CHAR(10)&amp;'人員資料表'!Q18</f>
        <v>黃范竹芳（母女）
0976525634</v>
      </c>
      <c r="L29" s="6"/>
      <c r="M29" s="111" t="str">
        <f>'人員資料表'!S18</f>
        <v>不知道⋯</v>
      </c>
      <c r="N29" s="111" t="str">
        <f>'人員資料表'!T18</f>
        <v>無</v>
      </c>
      <c r="O29" s="131"/>
    </row>
    <row r="30" ht="35.25" customHeight="1">
      <c r="A30" s="108"/>
      <c r="B30" s="74" t="str">
        <f>'人員資料表'!K19&amp;CHAR(10)&amp;'人員資料表'!L19</f>
        <v>機械118
E14146252</v>
      </c>
      <c r="C30" s="6"/>
      <c r="D30" s="74" t="str">
        <f>'人員資料表'!E19&amp;CHAR(10)&amp;'人員資料表'!J19</f>
        <v>傅琨鋮
0968716529</v>
      </c>
      <c r="E30" s="6"/>
      <c r="F30" s="3" t="str">
        <f>'人員資料表'!G19</f>
        <v>D/馬海濮大眾化</v>
      </c>
      <c r="G30" s="6"/>
      <c r="H30" s="130" t="str">
        <f>'人員資料表'!M19&amp;CHAR(10)&amp;TEXT('人員資料表'!N19,"yyyy/mm/dd")</f>
        <v>E126264303
2007/03/15</v>
      </c>
      <c r="I30" s="4"/>
      <c r="J30" s="6"/>
      <c r="K30" s="74" t="str">
        <f>'人員資料表'!P19&amp;CHAR(10)&amp;'人員資料表'!Q19</f>
        <v>張嘉玲（母子）
0939042620</v>
      </c>
      <c r="L30" s="6"/>
      <c r="M30" s="111" t="str">
        <f>'人員資料表'!S19</f>
        <v>B</v>
      </c>
      <c r="N30" s="111" t="str">
        <f>'人員資料表'!T19</f>
        <v>無</v>
      </c>
      <c r="O30" s="131"/>
    </row>
    <row r="31" ht="35.25" customHeight="1">
      <c r="A31" s="108"/>
      <c r="B31" s="74" t="str">
        <f>'人員資料表'!K20&amp;CHAR(10)&amp;'人員資料表'!L20</f>
        <v>電機116
E24121026 </v>
      </c>
      <c r="C31" s="6"/>
      <c r="D31" s="74" t="str">
        <f>'人員資料表'!E20&amp;CHAR(10)&amp;'人員資料表'!J20</f>
        <v>吳琇如
0983509656</v>
      </c>
      <c r="E31" s="6"/>
      <c r="F31" s="3" t="str">
        <f>'人員資料表'!G20</f>
        <v>C/萬山岩雕</v>
      </c>
      <c r="G31" s="6"/>
      <c r="H31" s="130" t="str">
        <f>'人員資料表'!M20&amp;CHAR(10)&amp;TEXT('人員資料表'!N20,"yyyy/mm/dd")</f>
        <v>A231279243
2004/09/09</v>
      </c>
      <c r="I31" s="4"/>
      <c r="J31" s="6"/>
      <c r="K31" s="74" t="str">
        <f>'人員資料表'!P20&amp;CHAR(10)&amp;'人員資料表'!Q20</f>
        <v>黃燕嬌（母女）
0939065504</v>
      </c>
      <c r="L31" s="6"/>
      <c r="M31" s="111" t="str">
        <f>'人員資料表'!S20</f>
        <v>O</v>
      </c>
      <c r="N31" s="111" t="str">
        <f>'人員資料表'!T20</f>
        <v>伊普芬</v>
      </c>
      <c r="O31" s="131"/>
    </row>
    <row r="32" ht="35.25" customHeight="1">
      <c r="A32" s="108"/>
      <c r="B32" s="74" t="str">
        <f>'人員資料表'!K21&amp;CHAR(10)&amp;'人員資料表'!L21</f>
        <v>電機116
E24124236</v>
      </c>
      <c r="C32" s="6"/>
      <c r="D32" s="74" t="str">
        <f>'人員資料表'!E21&amp;CHAR(10)&amp;'人員資料表'!J21</f>
        <v>邱于馨
0905274951</v>
      </c>
      <c r="E32" s="6"/>
      <c r="F32" s="3" t="str">
        <f>'人員資料表'!G21</f>
        <v>X</v>
      </c>
      <c r="G32" s="6"/>
      <c r="H32" s="130" t="str">
        <f>'人員資料表'!M21&amp;CHAR(10)&amp;TEXT('人員資料表'!N21,"yyyy/mm/dd")</f>
        <v>E225614669
2005/06/01</v>
      </c>
      <c r="I32" s="4"/>
      <c r="J32" s="6"/>
      <c r="K32" s="74" t="str">
        <f>'人員資料表'!P21&amp;CHAR(10)&amp;'人員資料表'!Q21</f>
        <v>邱逸民（父女）
0933003294</v>
      </c>
      <c r="L32" s="6"/>
      <c r="M32" s="111" t="str">
        <f>'人員資料表'!S21</f>
        <v>O</v>
      </c>
      <c r="N32" s="111" t="str">
        <f>'人員資料表'!T21</f>
        <v>無</v>
      </c>
      <c r="O32" s="131"/>
    </row>
    <row r="33" ht="35.25" customHeight="1">
      <c r="A33" s="108"/>
      <c r="B33" s="74" t="str">
        <f>'人員資料表'!K23&amp;CHAR(10)&amp;'人員資料表'!L23</f>
        <v>
</v>
      </c>
      <c r="C33" s="6"/>
      <c r="D33" s="74" t="str">
        <f>'人員資料表'!E23&amp;CHAR(10)&amp;'人員資料表'!J23</f>
        <v>
</v>
      </c>
      <c r="E33" s="6"/>
      <c r="F33" s="3"/>
      <c r="G33" s="6"/>
      <c r="H33" s="130"/>
      <c r="I33" s="4"/>
      <c r="J33" s="6"/>
      <c r="K33" s="74"/>
      <c r="L33" s="6"/>
      <c r="M33" s="111" t="str">
        <f>'人員資料表'!S23</f>
        <v/>
      </c>
      <c r="N33" s="111" t="str">
        <f>'人員資料表'!T23</f>
        <v/>
      </c>
      <c r="O33" s="131"/>
    </row>
    <row r="34" ht="35.25" customHeight="1">
      <c r="A34" s="108"/>
      <c r="B34" s="74" t="str">
        <f>'人員資料表'!K24&amp;CHAR(10)&amp;'人員資料表'!L24</f>
        <v>
</v>
      </c>
      <c r="C34" s="6"/>
      <c r="D34" s="74" t="str">
        <f>'人員資料表'!E24&amp;CHAR(10)&amp;'人員資料表'!J24</f>
        <v>
</v>
      </c>
      <c r="E34" s="6"/>
      <c r="F34" s="3"/>
      <c r="G34" s="6"/>
      <c r="H34" s="130"/>
      <c r="I34" s="4"/>
      <c r="J34" s="6"/>
      <c r="K34" s="74"/>
      <c r="L34" s="6"/>
      <c r="M34" s="111" t="str">
        <f>'人員資料表'!S24</f>
        <v/>
      </c>
      <c r="N34" s="111" t="str">
        <f>'人員資料表'!T24</f>
        <v/>
      </c>
      <c r="O34" s="131"/>
    </row>
    <row r="35" ht="35.25" customHeight="1">
      <c r="A35" s="108"/>
      <c r="B35" s="74" t="str">
        <f>'人員資料表'!K25&amp;CHAR(10)&amp;'人員資料表'!L25</f>
        <v>
</v>
      </c>
      <c r="C35" s="6"/>
      <c r="D35" s="74" t="str">
        <f>'人員資料表'!E25&amp;CHAR(10)&amp;'人員資料表'!J25</f>
        <v>
</v>
      </c>
      <c r="E35" s="6"/>
      <c r="F35" s="3"/>
      <c r="G35" s="6"/>
      <c r="H35" s="130"/>
      <c r="I35" s="4"/>
      <c r="J35" s="6"/>
      <c r="K35" s="74"/>
      <c r="L35" s="6"/>
      <c r="M35" s="111" t="str">
        <f>'人員資料表'!S25</f>
        <v/>
      </c>
      <c r="N35" s="111" t="str">
        <f>'人員資料表'!T25</f>
        <v/>
      </c>
      <c r="O35" s="131"/>
    </row>
    <row r="36" ht="35.25" customHeight="1">
      <c r="A36" s="108"/>
      <c r="B36" s="74" t="str">
        <f>'人員資料表'!K26&amp;CHAR(10)&amp;'人員資料表'!L26</f>
        <v>
</v>
      </c>
      <c r="C36" s="6"/>
      <c r="D36" s="74" t="str">
        <f>'人員資料表'!E26&amp;CHAR(10)&amp;'人員資料表'!J26</f>
        <v>
</v>
      </c>
      <c r="E36" s="6"/>
      <c r="F36" s="3"/>
      <c r="G36" s="6"/>
      <c r="H36" s="130"/>
      <c r="I36" s="4"/>
      <c r="J36" s="6"/>
      <c r="K36" s="74"/>
      <c r="L36" s="6"/>
      <c r="M36" s="111" t="str">
        <f>'人員資料表'!S26</f>
        <v/>
      </c>
      <c r="N36" s="111" t="str">
        <f>'人員資料表'!T26</f>
        <v/>
      </c>
      <c r="O36" s="131"/>
    </row>
    <row r="37" ht="35.25" customHeight="1">
      <c r="A37" s="108"/>
      <c r="B37" s="74" t="str">
        <f>'人員資料表'!K27&amp;CHAR(10)&amp;'人員資料表'!L27</f>
        <v>
</v>
      </c>
      <c r="C37" s="6"/>
      <c r="D37" s="74" t="str">
        <f>'人員資料表'!E27&amp;CHAR(10)&amp;'人員資料表'!J27</f>
        <v>
</v>
      </c>
      <c r="E37" s="6"/>
      <c r="F37" s="3"/>
      <c r="G37" s="6"/>
      <c r="H37" s="130"/>
      <c r="I37" s="4"/>
      <c r="J37" s="6"/>
      <c r="K37" s="74"/>
      <c r="L37" s="6"/>
      <c r="M37" s="111" t="str">
        <f>'人員資料表'!S27</f>
        <v/>
      </c>
      <c r="N37" s="111" t="str">
        <f>'人員資料表'!T27</f>
        <v/>
      </c>
      <c r="O37" s="131"/>
    </row>
    <row r="38" ht="35.25" customHeight="1">
      <c r="A38" s="108"/>
      <c r="B38" s="74" t="str">
        <f>'人員資料表'!K28&amp;CHAR(10)&amp;'人員資料表'!L28</f>
        <v>
</v>
      </c>
      <c r="C38" s="6"/>
      <c r="D38" s="74" t="str">
        <f>'人員資料表'!E28&amp;CHAR(10)&amp;'人員資料表'!J28</f>
        <v>
</v>
      </c>
      <c r="E38" s="6"/>
      <c r="F38" s="3"/>
      <c r="G38" s="6"/>
      <c r="H38" s="130"/>
      <c r="I38" s="4"/>
      <c r="J38" s="6"/>
      <c r="K38" s="74"/>
      <c r="L38" s="6"/>
      <c r="M38" s="111" t="str">
        <f>'人員資料表'!S28</f>
        <v/>
      </c>
      <c r="N38" s="111" t="str">
        <f>'人員資料表'!T28</f>
        <v/>
      </c>
      <c r="O38" s="131"/>
    </row>
    <row r="39" ht="35.25" customHeight="1">
      <c r="A39" s="108"/>
      <c r="B39" s="74" t="str">
        <f>'人員資料表'!K29&amp;CHAR(10)&amp;'人員資料表'!L29</f>
        <v>
</v>
      </c>
      <c r="C39" s="6"/>
      <c r="D39" s="74" t="str">
        <f>'人員資料表'!E29&amp;CHAR(10)&amp;'人員資料表'!J29</f>
        <v>
</v>
      </c>
      <c r="E39" s="6"/>
      <c r="F39" s="3"/>
      <c r="G39" s="6"/>
      <c r="H39" s="130"/>
      <c r="I39" s="4"/>
      <c r="J39" s="6"/>
      <c r="K39" s="74"/>
      <c r="L39" s="6"/>
      <c r="M39" s="111" t="str">
        <f>'人員資料表'!S29</f>
        <v/>
      </c>
      <c r="N39" s="111" t="str">
        <f>'人員資料表'!T29</f>
        <v/>
      </c>
      <c r="O39" s="131"/>
    </row>
    <row r="40" ht="35.25" customHeight="1">
      <c r="A40" s="108"/>
      <c r="B40" s="74" t="str">
        <f>'人員資料表'!K30&amp;CHAR(10)&amp;'人員資料表'!L30</f>
        <v>
</v>
      </c>
      <c r="C40" s="6"/>
      <c r="D40" s="74" t="str">
        <f>'人員資料表'!E30&amp;CHAR(10)&amp;'人員資料表'!J30</f>
        <v>
</v>
      </c>
      <c r="E40" s="6"/>
      <c r="F40" s="3"/>
      <c r="G40" s="6"/>
      <c r="H40" s="130"/>
      <c r="I40" s="4"/>
      <c r="J40" s="6"/>
      <c r="K40" s="74"/>
      <c r="L40" s="6"/>
      <c r="M40" s="111" t="str">
        <f>'人員資料表'!S30</f>
        <v/>
      </c>
      <c r="N40" s="111" t="str">
        <f>'人員資料表'!T30</f>
        <v/>
      </c>
      <c r="O40" s="13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D17:E17"/>
    <mergeCell ref="D18:E18"/>
    <mergeCell ref="F18:G18"/>
    <mergeCell ref="H18:J18"/>
    <mergeCell ref="K18:L18"/>
    <mergeCell ref="D16:E16"/>
    <mergeCell ref="F16:G16"/>
    <mergeCell ref="H16:J16"/>
    <mergeCell ref="K16:L16"/>
    <mergeCell ref="F17:G17"/>
    <mergeCell ref="H17:J17"/>
    <mergeCell ref="K17:L17"/>
    <mergeCell ref="B3:B9"/>
    <mergeCell ref="B10:C10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4:C34"/>
    <mergeCell ref="B35:C35"/>
    <mergeCell ref="B36:C36"/>
    <mergeCell ref="B37:C37"/>
    <mergeCell ref="B38:C38"/>
    <mergeCell ref="B39:C39"/>
    <mergeCell ref="B40:C40"/>
    <mergeCell ref="B27:C27"/>
    <mergeCell ref="B28:C28"/>
    <mergeCell ref="B29:C29"/>
    <mergeCell ref="B30:C30"/>
    <mergeCell ref="B31:C31"/>
    <mergeCell ref="B32:C32"/>
    <mergeCell ref="B33:C33"/>
    <mergeCell ref="M4:M5"/>
    <mergeCell ref="N4:O5"/>
    <mergeCell ref="J3:J6"/>
    <mergeCell ref="J7:J9"/>
    <mergeCell ref="N7:O7"/>
    <mergeCell ref="N8:O8"/>
    <mergeCell ref="N9:O9"/>
    <mergeCell ref="N10:O10"/>
    <mergeCell ref="B1:O1"/>
    <mergeCell ref="B2:L2"/>
    <mergeCell ref="M2:O2"/>
    <mergeCell ref="I3:I9"/>
    <mergeCell ref="N3:O3"/>
    <mergeCell ref="N6:O6"/>
    <mergeCell ref="D10:L10"/>
    <mergeCell ref="D11:L11"/>
    <mergeCell ref="N11:O11"/>
    <mergeCell ref="B14:O14"/>
    <mergeCell ref="D15:E15"/>
    <mergeCell ref="F15:G15"/>
    <mergeCell ref="H15:J15"/>
    <mergeCell ref="K15:L15"/>
    <mergeCell ref="H22:J22"/>
    <mergeCell ref="K22:L22"/>
    <mergeCell ref="D27:E27"/>
    <mergeCell ref="F27:G27"/>
    <mergeCell ref="H27:J27"/>
    <mergeCell ref="K27:L27"/>
    <mergeCell ref="F28:G28"/>
    <mergeCell ref="H28:J28"/>
    <mergeCell ref="K28:L28"/>
    <mergeCell ref="D28:E28"/>
    <mergeCell ref="D29:E29"/>
    <mergeCell ref="F29:G29"/>
    <mergeCell ref="H29:J29"/>
    <mergeCell ref="K29:L29"/>
    <mergeCell ref="D30:E30"/>
    <mergeCell ref="F30:G30"/>
    <mergeCell ref="D31:E31"/>
    <mergeCell ref="F31:G31"/>
    <mergeCell ref="H31:J31"/>
    <mergeCell ref="K31:L31"/>
    <mergeCell ref="F32:G32"/>
    <mergeCell ref="H32:J32"/>
    <mergeCell ref="K32:L32"/>
    <mergeCell ref="D32:E32"/>
    <mergeCell ref="D33:E33"/>
    <mergeCell ref="F33:G33"/>
    <mergeCell ref="H33:J33"/>
    <mergeCell ref="K33:L33"/>
    <mergeCell ref="D34:E34"/>
    <mergeCell ref="F34:G34"/>
    <mergeCell ref="F36:G36"/>
    <mergeCell ref="H36:J36"/>
    <mergeCell ref="H34:J34"/>
    <mergeCell ref="K34:L34"/>
    <mergeCell ref="D35:E35"/>
    <mergeCell ref="F35:G35"/>
    <mergeCell ref="H35:J35"/>
    <mergeCell ref="K35:L35"/>
    <mergeCell ref="K36:L36"/>
    <mergeCell ref="H38:J38"/>
    <mergeCell ref="K38:L38"/>
    <mergeCell ref="D36:E36"/>
    <mergeCell ref="D37:E37"/>
    <mergeCell ref="F37:G37"/>
    <mergeCell ref="H37:J37"/>
    <mergeCell ref="K37:L37"/>
    <mergeCell ref="D38:E38"/>
    <mergeCell ref="F38:G38"/>
    <mergeCell ref="D19:E19"/>
    <mergeCell ref="F19:G19"/>
    <mergeCell ref="H19:J19"/>
    <mergeCell ref="K19:L19"/>
    <mergeCell ref="F20:G20"/>
    <mergeCell ref="H20:J20"/>
    <mergeCell ref="K20:L20"/>
    <mergeCell ref="D20:E20"/>
    <mergeCell ref="D21:E21"/>
    <mergeCell ref="F21:G21"/>
    <mergeCell ref="H21:J21"/>
    <mergeCell ref="K21:L21"/>
    <mergeCell ref="D22:E22"/>
    <mergeCell ref="F22:G22"/>
    <mergeCell ref="D23:E23"/>
    <mergeCell ref="F23:G23"/>
    <mergeCell ref="H23:J23"/>
    <mergeCell ref="K23:L23"/>
    <mergeCell ref="F24:G24"/>
    <mergeCell ref="H24:J24"/>
    <mergeCell ref="K24:L24"/>
    <mergeCell ref="H26:J26"/>
    <mergeCell ref="K26:L26"/>
    <mergeCell ref="D24:E24"/>
    <mergeCell ref="D25:E25"/>
    <mergeCell ref="F25:G25"/>
    <mergeCell ref="H25:J25"/>
    <mergeCell ref="K25:L25"/>
    <mergeCell ref="D26:E26"/>
    <mergeCell ref="F26:G26"/>
    <mergeCell ref="H30:J30"/>
    <mergeCell ref="K30:L30"/>
    <mergeCell ref="D39:E39"/>
    <mergeCell ref="F39:G39"/>
    <mergeCell ref="H39:J39"/>
    <mergeCell ref="K39:L39"/>
    <mergeCell ref="D40:E40"/>
    <mergeCell ref="F40:G40"/>
    <mergeCell ref="H40:J40"/>
    <mergeCell ref="K40:L40"/>
  </mergeCells>
  <hyperlinks>
    <hyperlink r:id="rId1" ref="D10"/>
  </hyperlinks>
  <printOptions horizontalCentered="1" verticalCentered="1"/>
  <pageMargins bottom="0.3937007874015748" footer="0.0" header="0.0" left="0.15748031496062992" right="0.15748031496062992" top="0.3937007874015748"/>
  <pageSetup paperSize="9" scale="95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1.22" defaultRowHeight="15.0"/>
  <cols>
    <col customWidth="1" hidden="1" min="1" max="1" width="20.0"/>
    <col customWidth="1" hidden="1" min="2" max="2" width="36.11"/>
    <col customWidth="1" hidden="1" min="3" max="3" width="12.56"/>
    <col customWidth="1" hidden="1" min="4" max="4" width="11.22"/>
    <col customWidth="1" min="5" max="5" width="14.67"/>
    <col customWidth="1" min="6" max="6" width="6.67"/>
    <col customWidth="1" min="7" max="7" width="22.11"/>
    <col customWidth="1" min="8" max="8" width="7.89"/>
    <col customWidth="1" min="14" max="14" width="10.44"/>
    <col customWidth="1" min="15" max="15" width="40.89"/>
    <col customWidth="1" min="16" max="16" width="11.67"/>
    <col customWidth="1" min="17" max="17" width="14.44"/>
    <col customWidth="1" min="18" max="18" width="12.22"/>
    <col customWidth="1" min="19" max="19" width="6.89"/>
    <col customWidth="1" min="22" max="22" width="12.11"/>
    <col customWidth="1" min="23" max="23" width="32.67"/>
    <col customWidth="1" min="24" max="24" width="26.0"/>
    <col customWidth="1" min="26" max="26" width="19.11"/>
    <col customWidth="1" min="31" max="31" width="5.56"/>
    <col customWidth="1" min="32" max="32" width="6.89"/>
    <col customWidth="1" min="33" max="33" width="6.33"/>
    <col customWidth="1" min="34" max="34" width="5.33"/>
    <col customWidth="1" min="35" max="35" width="5.67"/>
  </cols>
  <sheetData>
    <row r="1" ht="20.25" hidden="1" customHeight="1">
      <c r="A1" s="133"/>
    </row>
    <row r="2" ht="20.25" hidden="1" customHeight="1">
      <c r="A2" s="133"/>
    </row>
    <row r="3">
      <c r="A3" s="134" t="s">
        <v>145</v>
      </c>
    </row>
    <row r="4" ht="36.75" customHeight="1">
      <c r="A4" s="135" t="s">
        <v>146</v>
      </c>
      <c r="B4" s="135" t="s">
        <v>147</v>
      </c>
      <c r="C4" s="135" t="s">
        <v>148</v>
      </c>
      <c r="D4" s="135"/>
      <c r="E4" s="135" t="s">
        <v>149</v>
      </c>
      <c r="F4" s="135" t="s">
        <v>150</v>
      </c>
      <c r="G4" s="135" t="s">
        <v>151</v>
      </c>
      <c r="H4" s="135" t="s">
        <v>152</v>
      </c>
      <c r="I4" s="135" t="s">
        <v>153</v>
      </c>
      <c r="J4" s="135" t="s">
        <v>154</v>
      </c>
      <c r="K4" s="135" t="s">
        <v>155</v>
      </c>
      <c r="L4" s="135" t="s">
        <v>156</v>
      </c>
      <c r="M4" s="135" t="s">
        <v>157</v>
      </c>
      <c r="N4" s="135" t="s">
        <v>158</v>
      </c>
      <c r="O4" s="135" t="s">
        <v>159</v>
      </c>
      <c r="P4" s="135" t="s">
        <v>160</v>
      </c>
      <c r="Q4" s="135" t="s">
        <v>161</v>
      </c>
      <c r="R4" s="135" t="s">
        <v>162</v>
      </c>
      <c r="S4" s="135" t="s">
        <v>138</v>
      </c>
      <c r="T4" s="135" t="s">
        <v>163</v>
      </c>
      <c r="U4" s="135" t="s">
        <v>164</v>
      </c>
      <c r="V4" s="135" t="s">
        <v>165</v>
      </c>
      <c r="W4" s="135" t="s">
        <v>166</v>
      </c>
      <c r="X4" s="135" t="s">
        <v>167</v>
      </c>
      <c r="Y4" s="135"/>
      <c r="Z4" s="135" t="s">
        <v>168</v>
      </c>
      <c r="AA4" s="135"/>
      <c r="AB4" s="135"/>
      <c r="AC4" s="135"/>
      <c r="AD4" s="135"/>
      <c r="AE4" s="135" t="s">
        <v>169</v>
      </c>
      <c r="AF4" s="135" t="s">
        <v>170</v>
      </c>
      <c r="AG4" s="135" t="s">
        <v>171</v>
      </c>
      <c r="AH4" s="135" t="s">
        <v>172</v>
      </c>
      <c r="AI4" s="135" t="s">
        <v>173</v>
      </c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</row>
    <row r="5">
      <c r="A5" s="136">
        <v>44986.837372118054</v>
      </c>
      <c r="B5" s="137" t="s">
        <v>174</v>
      </c>
      <c r="C5" s="137" t="s">
        <v>24</v>
      </c>
      <c r="D5" s="138"/>
      <c r="E5" s="137" t="s">
        <v>45</v>
      </c>
      <c r="F5" s="137" t="s">
        <v>175</v>
      </c>
      <c r="G5" s="137" t="s">
        <v>176</v>
      </c>
      <c r="H5" s="137" t="s">
        <v>177</v>
      </c>
      <c r="I5" s="137" t="s">
        <v>45</v>
      </c>
      <c r="J5" s="139" t="s">
        <v>46</v>
      </c>
      <c r="K5" s="137" t="s">
        <v>178</v>
      </c>
      <c r="L5" s="137" t="s">
        <v>179</v>
      </c>
      <c r="M5" s="137" t="s">
        <v>180</v>
      </c>
      <c r="N5" s="140">
        <v>37516.0</v>
      </c>
      <c r="O5" s="137" t="s">
        <v>181</v>
      </c>
      <c r="P5" s="137" t="s">
        <v>182</v>
      </c>
      <c r="Q5" s="139" t="s">
        <v>183</v>
      </c>
      <c r="R5" s="141" t="s">
        <v>184</v>
      </c>
      <c r="S5" s="137" t="s">
        <v>185</v>
      </c>
      <c r="T5" s="137" t="s">
        <v>186</v>
      </c>
      <c r="U5" s="138"/>
      <c r="V5" s="138"/>
      <c r="W5" s="137" t="s">
        <v>187</v>
      </c>
      <c r="X5" s="137" t="s">
        <v>188</v>
      </c>
      <c r="Y5" s="138" t="s">
        <v>189</v>
      </c>
      <c r="Z5" s="137" t="s">
        <v>190</v>
      </c>
      <c r="AA5" s="142"/>
      <c r="AB5" s="143"/>
      <c r="AC5" s="143"/>
      <c r="AD5" s="144" t="s">
        <v>191</v>
      </c>
      <c r="AE5" s="144"/>
      <c r="AF5" s="145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</row>
    <row r="6">
      <c r="A6" s="146">
        <v>45360.04872706019</v>
      </c>
      <c r="B6" s="141" t="s">
        <v>174</v>
      </c>
      <c r="C6" s="141" t="s">
        <v>192</v>
      </c>
      <c r="D6" s="143"/>
      <c r="E6" s="141" t="s">
        <v>61</v>
      </c>
      <c r="F6" s="141" t="s">
        <v>193</v>
      </c>
      <c r="G6" s="141" t="s">
        <v>194</v>
      </c>
      <c r="H6" s="141" t="s">
        <v>177</v>
      </c>
      <c r="I6" s="147" t="s">
        <v>195</v>
      </c>
      <c r="J6" s="148" t="s">
        <v>62</v>
      </c>
      <c r="K6" s="141" t="s">
        <v>196</v>
      </c>
      <c r="L6" s="141" t="s">
        <v>197</v>
      </c>
      <c r="M6" s="141" t="s">
        <v>198</v>
      </c>
      <c r="N6" s="149">
        <v>37591.0</v>
      </c>
      <c r="O6" s="141" t="s">
        <v>199</v>
      </c>
      <c r="P6" s="141" t="s">
        <v>200</v>
      </c>
      <c r="Q6" s="148" t="s">
        <v>201</v>
      </c>
      <c r="R6" s="141" t="s">
        <v>184</v>
      </c>
      <c r="S6" s="141" t="s">
        <v>202</v>
      </c>
      <c r="T6" s="141" t="s">
        <v>186</v>
      </c>
      <c r="U6" s="143"/>
      <c r="V6" s="143"/>
      <c r="W6" s="141" t="s">
        <v>190</v>
      </c>
      <c r="X6" s="141" t="s">
        <v>203</v>
      </c>
      <c r="Y6" s="143" t="s">
        <v>189</v>
      </c>
      <c r="Z6" s="141" t="s">
        <v>190</v>
      </c>
      <c r="AA6" s="150">
        <v>50034.0</v>
      </c>
      <c r="AB6" s="149">
        <v>45359.0</v>
      </c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</row>
    <row r="7">
      <c r="A7" s="146">
        <v>45887.612960300925</v>
      </c>
      <c r="B7" s="141" t="s">
        <v>174</v>
      </c>
      <c r="C7" s="141" t="s">
        <v>204</v>
      </c>
      <c r="D7" s="143"/>
      <c r="E7" s="141" t="s">
        <v>205</v>
      </c>
      <c r="F7" s="141" t="s">
        <v>206</v>
      </c>
      <c r="G7" s="141" t="s">
        <v>207</v>
      </c>
      <c r="H7" s="141" t="s">
        <v>177</v>
      </c>
      <c r="I7" s="141" t="s">
        <v>205</v>
      </c>
      <c r="J7" s="148" t="s">
        <v>208</v>
      </c>
      <c r="K7" s="141" t="s">
        <v>209</v>
      </c>
      <c r="L7" s="141" t="s">
        <v>210</v>
      </c>
      <c r="M7" s="141" t="s">
        <v>211</v>
      </c>
      <c r="N7" s="149">
        <v>37770.0</v>
      </c>
      <c r="O7" s="141" t="s">
        <v>212</v>
      </c>
      <c r="P7" s="141" t="s">
        <v>213</v>
      </c>
      <c r="Q7" s="148" t="s">
        <v>214</v>
      </c>
      <c r="R7" s="141" t="s">
        <v>184</v>
      </c>
      <c r="S7" s="141" t="s">
        <v>185</v>
      </c>
      <c r="T7" s="141" t="s">
        <v>190</v>
      </c>
      <c r="U7" s="143"/>
      <c r="V7" s="151"/>
      <c r="W7" s="141" t="s">
        <v>215</v>
      </c>
      <c r="X7" s="141" t="s">
        <v>216</v>
      </c>
      <c r="Y7" s="143" t="s">
        <v>189</v>
      </c>
      <c r="Z7" s="141" t="s">
        <v>190</v>
      </c>
      <c r="AA7" s="143"/>
      <c r="AB7" s="143"/>
      <c r="AC7" s="143"/>
      <c r="AD7" s="141" t="s">
        <v>217</v>
      </c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</row>
    <row r="8">
      <c r="A8" s="146">
        <v>44880.042054756945</v>
      </c>
      <c r="B8" s="141" t="s">
        <v>174</v>
      </c>
      <c r="C8" s="141" t="s">
        <v>24</v>
      </c>
      <c r="D8" s="143"/>
      <c r="E8" s="141" t="s">
        <v>218</v>
      </c>
      <c r="F8" s="141" t="s">
        <v>171</v>
      </c>
      <c r="G8" s="141" t="s">
        <v>219</v>
      </c>
      <c r="H8" s="141" t="s">
        <v>220</v>
      </c>
      <c r="I8" s="141" t="s">
        <v>218</v>
      </c>
      <c r="J8" s="148" t="s">
        <v>221</v>
      </c>
      <c r="K8" s="141" t="s">
        <v>222</v>
      </c>
      <c r="L8" s="141" t="s">
        <v>223</v>
      </c>
      <c r="M8" s="141" t="s">
        <v>224</v>
      </c>
      <c r="N8" s="149">
        <v>37184.0</v>
      </c>
      <c r="O8" s="141" t="s">
        <v>225</v>
      </c>
      <c r="P8" s="141" t="s">
        <v>226</v>
      </c>
      <c r="Q8" s="148" t="s">
        <v>227</v>
      </c>
      <c r="R8" s="141" t="s">
        <v>184</v>
      </c>
      <c r="S8" s="141" t="s">
        <v>21</v>
      </c>
      <c r="T8" s="141" t="s">
        <v>190</v>
      </c>
      <c r="U8" s="143"/>
      <c r="V8" s="151"/>
      <c r="W8" s="141" t="s">
        <v>228</v>
      </c>
      <c r="X8" s="141" t="s">
        <v>229</v>
      </c>
      <c r="Y8" s="143" t="s">
        <v>189</v>
      </c>
      <c r="Z8" s="141" t="s">
        <v>190</v>
      </c>
      <c r="AA8" s="141" t="s">
        <v>230</v>
      </c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</row>
    <row r="9">
      <c r="A9" s="146">
        <v>45918.63636585648</v>
      </c>
      <c r="B9" s="141" t="s">
        <v>231</v>
      </c>
      <c r="C9" s="141" t="s">
        <v>232</v>
      </c>
      <c r="D9" s="143"/>
      <c r="E9" s="141" t="s">
        <v>233</v>
      </c>
      <c r="F9" s="141" t="s">
        <v>234</v>
      </c>
      <c r="G9" s="141" t="s">
        <v>235</v>
      </c>
      <c r="H9" s="141" t="s">
        <v>220</v>
      </c>
      <c r="I9" s="141" t="s">
        <v>233</v>
      </c>
      <c r="J9" s="148" t="s">
        <v>236</v>
      </c>
      <c r="K9" s="141" t="s">
        <v>237</v>
      </c>
      <c r="L9" s="141" t="s">
        <v>238</v>
      </c>
      <c r="M9" s="141" t="s">
        <v>239</v>
      </c>
      <c r="N9" s="149">
        <v>38044.0</v>
      </c>
      <c r="O9" s="141" t="s">
        <v>240</v>
      </c>
      <c r="P9" s="141" t="s">
        <v>241</v>
      </c>
      <c r="Q9" s="148" t="s">
        <v>242</v>
      </c>
      <c r="R9" s="141" t="s">
        <v>184</v>
      </c>
      <c r="S9" s="141" t="s">
        <v>243</v>
      </c>
      <c r="T9" s="141" t="s">
        <v>186</v>
      </c>
      <c r="U9" s="143"/>
      <c r="V9" s="143"/>
      <c r="W9" s="141" t="s">
        <v>244</v>
      </c>
      <c r="X9" s="141" t="s">
        <v>245</v>
      </c>
      <c r="Y9" s="143" t="s">
        <v>189</v>
      </c>
      <c r="Z9" s="143"/>
      <c r="AA9" s="143"/>
      <c r="AB9" s="151"/>
      <c r="AC9" s="143"/>
      <c r="AD9" s="141" t="s">
        <v>246</v>
      </c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</row>
    <row r="10">
      <c r="A10" s="146">
        <v>45742.89116126158</v>
      </c>
      <c r="B10" s="141" t="s">
        <v>174</v>
      </c>
      <c r="C10" s="141" t="s">
        <v>247</v>
      </c>
      <c r="D10" s="143"/>
      <c r="E10" s="141" t="s">
        <v>248</v>
      </c>
      <c r="F10" s="141" t="s">
        <v>206</v>
      </c>
      <c r="G10" s="141" t="s">
        <v>219</v>
      </c>
      <c r="H10" s="141" t="s">
        <v>177</v>
      </c>
      <c r="I10" s="147" t="s">
        <v>249</v>
      </c>
      <c r="J10" s="148" t="s">
        <v>250</v>
      </c>
      <c r="K10" s="141" t="s">
        <v>251</v>
      </c>
      <c r="L10" s="141" t="s">
        <v>252</v>
      </c>
      <c r="M10" s="141" t="s">
        <v>253</v>
      </c>
      <c r="N10" s="149">
        <v>38845.0</v>
      </c>
      <c r="O10" s="141" t="s">
        <v>254</v>
      </c>
      <c r="P10" s="141" t="s">
        <v>255</v>
      </c>
      <c r="Q10" s="148" t="s">
        <v>256</v>
      </c>
      <c r="R10" s="141" t="s">
        <v>184</v>
      </c>
      <c r="S10" s="141" t="s">
        <v>21</v>
      </c>
      <c r="T10" s="141" t="s">
        <v>190</v>
      </c>
      <c r="U10" s="143"/>
      <c r="V10" s="143"/>
      <c r="W10" s="141" t="s">
        <v>257</v>
      </c>
      <c r="X10" s="141" t="s">
        <v>258</v>
      </c>
      <c r="Y10" s="143" t="s">
        <v>189</v>
      </c>
      <c r="Z10" s="141" t="s">
        <v>190</v>
      </c>
      <c r="AA10" s="150">
        <v>69504.0</v>
      </c>
      <c r="AB10" s="149">
        <v>45569.0</v>
      </c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</row>
    <row r="11">
      <c r="A11" s="146">
        <v>46093.70582260417</v>
      </c>
      <c r="B11" s="141" t="s">
        <v>259</v>
      </c>
      <c r="C11" s="141" t="s">
        <v>260</v>
      </c>
      <c r="D11" s="143"/>
      <c r="E11" s="152" t="s">
        <v>261</v>
      </c>
      <c r="F11" s="141" t="s">
        <v>143</v>
      </c>
      <c r="G11" s="141" t="s">
        <v>262</v>
      </c>
      <c r="H11" s="141" t="s">
        <v>220</v>
      </c>
      <c r="I11" s="141" t="s">
        <v>263</v>
      </c>
      <c r="J11" s="148" t="s">
        <v>264</v>
      </c>
      <c r="K11" s="141" t="s">
        <v>265</v>
      </c>
      <c r="L11" s="141" t="s">
        <v>266</v>
      </c>
      <c r="M11" s="141" t="s">
        <v>267</v>
      </c>
      <c r="N11" s="149">
        <v>37071.0</v>
      </c>
      <c r="O11" s="141" t="s">
        <v>268</v>
      </c>
      <c r="P11" s="141" t="s">
        <v>269</v>
      </c>
      <c r="Q11" s="148" t="s">
        <v>270</v>
      </c>
      <c r="R11" s="141" t="s">
        <v>271</v>
      </c>
      <c r="S11" s="141" t="s">
        <v>185</v>
      </c>
      <c r="T11" s="141" t="s">
        <v>186</v>
      </c>
      <c r="U11" s="143"/>
      <c r="V11" s="143"/>
      <c r="W11" s="141" t="s">
        <v>272</v>
      </c>
      <c r="X11" s="141" t="s">
        <v>273</v>
      </c>
      <c r="Y11" s="143" t="s">
        <v>189</v>
      </c>
      <c r="Z11" s="143"/>
      <c r="AA11" s="141" t="s">
        <v>274</v>
      </c>
      <c r="AB11" s="149">
        <v>45721.0</v>
      </c>
      <c r="AC11" s="143"/>
      <c r="AD11" s="141" t="s">
        <v>275</v>
      </c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</row>
    <row r="12">
      <c r="A12" s="146">
        <v>45360.445533252314</v>
      </c>
      <c r="B12" s="141" t="s">
        <v>174</v>
      </c>
      <c r="C12" s="141" t="s">
        <v>276</v>
      </c>
      <c r="D12" s="143"/>
      <c r="E12" s="141" t="s">
        <v>277</v>
      </c>
      <c r="F12" s="141" t="s">
        <v>278</v>
      </c>
      <c r="G12" s="141" t="s">
        <v>279</v>
      </c>
      <c r="H12" s="141" t="s">
        <v>220</v>
      </c>
      <c r="I12" s="147" t="s">
        <v>280</v>
      </c>
      <c r="J12" s="148" t="s">
        <v>281</v>
      </c>
      <c r="K12" s="141" t="s">
        <v>282</v>
      </c>
      <c r="L12" s="141" t="s">
        <v>283</v>
      </c>
      <c r="M12" s="141" t="s">
        <v>284</v>
      </c>
      <c r="N12" s="149">
        <v>37214.0</v>
      </c>
      <c r="O12" s="141" t="s">
        <v>285</v>
      </c>
      <c r="P12" s="141" t="s">
        <v>286</v>
      </c>
      <c r="Q12" s="148" t="s">
        <v>287</v>
      </c>
      <c r="R12" s="141" t="s">
        <v>184</v>
      </c>
      <c r="S12" s="141" t="s">
        <v>21</v>
      </c>
      <c r="T12" s="141" t="s">
        <v>186</v>
      </c>
      <c r="U12" s="143"/>
      <c r="V12" s="143"/>
      <c r="W12" s="141" t="s">
        <v>288</v>
      </c>
      <c r="X12" s="141" t="s">
        <v>289</v>
      </c>
      <c r="Y12" s="143" t="s">
        <v>189</v>
      </c>
      <c r="Z12" s="141" t="s">
        <v>288</v>
      </c>
      <c r="AA12" s="143"/>
      <c r="AB12" s="151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</row>
    <row r="13">
      <c r="A13" s="153">
        <v>45837.936961643514</v>
      </c>
      <c r="B13" s="154" t="s">
        <v>174</v>
      </c>
      <c r="C13" s="154" t="s">
        <v>276</v>
      </c>
      <c r="D13" s="154"/>
      <c r="E13" s="154" t="s">
        <v>290</v>
      </c>
      <c r="F13" s="154" t="s">
        <v>206</v>
      </c>
      <c r="G13" s="154" t="s">
        <v>291</v>
      </c>
      <c r="H13" s="154" t="s">
        <v>177</v>
      </c>
      <c r="I13" s="155" t="s">
        <v>292</v>
      </c>
      <c r="J13" s="156" t="s">
        <v>293</v>
      </c>
      <c r="K13" s="154" t="s">
        <v>294</v>
      </c>
      <c r="L13" s="154" t="s">
        <v>295</v>
      </c>
      <c r="M13" s="154" t="s">
        <v>296</v>
      </c>
      <c r="N13" s="157">
        <v>36392.0</v>
      </c>
      <c r="O13" s="154" t="s">
        <v>297</v>
      </c>
      <c r="P13" s="154" t="s">
        <v>298</v>
      </c>
      <c r="Q13" s="156" t="s">
        <v>299</v>
      </c>
      <c r="R13" s="154" t="s">
        <v>184</v>
      </c>
      <c r="S13" s="154" t="s">
        <v>21</v>
      </c>
      <c r="T13" s="154" t="s">
        <v>186</v>
      </c>
      <c r="U13" s="154"/>
      <c r="V13" s="154"/>
      <c r="W13" s="154" t="s">
        <v>300</v>
      </c>
      <c r="X13" s="154" t="s">
        <v>301</v>
      </c>
      <c r="Y13" s="154" t="s">
        <v>189</v>
      </c>
      <c r="Z13" s="154" t="s">
        <v>190</v>
      </c>
      <c r="AA13" s="158">
        <v>50034.0</v>
      </c>
      <c r="AB13" s="157">
        <v>36392.0</v>
      </c>
      <c r="AC13" s="154"/>
      <c r="AD13" s="154" t="s">
        <v>302</v>
      </c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</row>
    <row r="14">
      <c r="A14" s="146">
        <v>45921.538665949076</v>
      </c>
      <c r="B14" s="141" t="s">
        <v>259</v>
      </c>
      <c r="C14" s="141" t="s">
        <v>24</v>
      </c>
      <c r="D14" s="143"/>
      <c r="E14" s="152" t="s">
        <v>303</v>
      </c>
      <c r="F14" s="141" t="s">
        <v>304</v>
      </c>
      <c r="G14" s="141" t="s">
        <v>305</v>
      </c>
      <c r="H14" s="141" t="s">
        <v>177</v>
      </c>
      <c r="I14" s="147" t="s">
        <v>306</v>
      </c>
      <c r="J14" s="148" t="s">
        <v>307</v>
      </c>
      <c r="K14" s="141" t="s">
        <v>308</v>
      </c>
      <c r="L14" s="141" t="s">
        <v>309</v>
      </c>
      <c r="M14" s="141" t="s">
        <v>310</v>
      </c>
      <c r="N14" s="149">
        <v>39292.0</v>
      </c>
      <c r="O14" s="141" t="s">
        <v>311</v>
      </c>
      <c r="P14" s="141" t="s">
        <v>312</v>
      </c>
      <c r="Q14" s="148" t="s">
        <v>313</v>
      </c>
      <c r="R14" s="141" t="s">
        <v>271</v>
      </c>
      <c r="S14" s="141" t="s">
        <v>21</v>
      </c>
      <c r="T14" s="141" t="s">
        <v>186</v>
      </c>
      <c r="U14" s="143"/>
      <c r="V14" s="143"/>
      <c r="W14" s="141" t="s">
        <v>314</v>
      </c>
      <c r="X14" s="141" t="s">
        <v>315</v>
      </c>
      <c r="Y14" s="143" t="s">
        <v>189</v>
      </c>
      <c r="Z14" s="141" t="s">
        <v>190</v>
      </c>
      <c r="AA14" s="150">
        <v>2603.0</v>
      </c>
      <c r="AB14" s="149">
        <v>45921.0</v>
      </c>
      <c r="AC14" s="143"/>
      <c r="AD14" s="141" t="s">
        <v>316</v>
      </c>
      <c r="AE14" s="143" t="s">
        <v>191</v>
      </c>
      <c r="AG14" s="143" t="s">
        <v>191</v>
      </c>
      <c r="AH14" s="143" t="s">
        <v>191</v>
      </c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</row>
    <row r="15">
      <c r="A15" s="146">
        <v>46094.44557609953</v>
      </c>
      <c r="B15" s="141" t="s">
        <v>259</v>
      </c>
      <c r="C15" s="141" t="s">
        <v>317</v>
      </c>
      <c r="D15" s="143"/>
      <c r="E15" s="152" t="s">
        <v>318</v>
      </c>
      <c r="F15" s="141" t="s">
        <v>304</v>
      </c>
      <c r="G15" s="141" t="s">
        <v>319</v>
      </c>
      <c r="H15" s="141" t="s">
        <v>177</v>
      </c>
      <c r="I15" s="141" t="s">
        <v>318</v>
      </c>
      <c r="J15" s="148" t="s">
        <v>320</v>
      </c>
      <c r="K15" s="141" t="s">
        <v>321</v>
      </c>
      <c r="L15" s="141" t="s">
        <v>322</v>
      </c>
      <c r="M15" s="141" t="s">
        <v>323</v>
      </c>
      <c r="N15" s="149">
        <v>38768.0</v>
      </c>
      <c r="O15" s="141" t="s">
        <v>324</v>
      </c>
      <c r="P15" s="141" t="s">
        <v>325</v>
      </c>
      <c r="Q15" s="148" t="s">
        <v>326</v>
      </c>
      <c r="R15" s="141" t="s">
        <v>271</v>
      </c>
      <c r="S15" s="141" t="s">
        <v>21</v>
      </c>
      <c r="T15" s="141" t="s">
        <v>327</v>
      </c>
      <c r="U15" s="143"/>
      <c r="V15" s="143"/>
      <c r="W15" s="141" t="s">
        <v>190</v>
      </c>
      <c r="X15" s="141" t="s">
        <v>328</v>
      </c>
      <c r="Y15" s="143" t="s">
        <v>189</v>
      </c>
      <c r="Z15" s="143"/>
      <c r="AA15" s="141" t="s">
        <v>329</v>
      </c>
      <c r="AB15" s="149">
        <v>46093.0</v>
      </c>
      <c r="AC15" s="143"/>
      <c r="AD15" s="141" t="s">
        <v>24</v>
      </c>
      <c r="AE15" s="143"/>
      <c r="AG15" s="143"/>
      <c r="AH15" s="143" t="s">
        <v>191</v>
      </c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</row>
    <row r="16">
      <c r="A16" s="146">
        <v>46092.627637349535</v>
      </c>
      <c r="B16" s="141" t="s">
        <v>174</v>
      </c>
      <c r="C16" s="141" t="s">
        <v>330</v>
      </c>
      <c r="D16" s="143"/>
      <c r="E16" s="152" t="s">
        <v>331</v>
      </c>
      <c r="F16" s="141" t="s">
        <v>304</v>
      </c>
      <c r="G16" s="141" t="s">
        <v>332</v>
      </c>
      <c r="H16" s="141" t="s">
        <v>220</v>
      </c>
      <c r="I16" s="147" t="s">
        <v>333</v>
      </c>
      <c r="J16" s="148" t="s">
        <v>334</v>
      </c>
      <c r="K16" s="141" t="s">
        <v>335</v>
      </c>
      <c r="L16" s="141" t="s">
        <v>336</v>
      </c>
      <c r="M16" s="141" t="s">
        <v>337</v>
      </c>
      <c r="N16" s="149">
        <v>39030.0</v>
      </c>
      <c r="O16" s="141" t="s">
        <v>338</v>
      </c>
      <c r="P16" s="141" t="s">
        <v>339</v>
      </c>
      <c r="Q16" s="148" t="s">
        <v>340</v>
      </c>
      <c r="R16" s="141" t="s">
        <v>271</v>
      </c>
      <c r="S16" s="141" t="s">
        <v>202</v>
      </c>
      <c r="T16" s="141" t="s">
        <v>186</v>
      </c>
      <c r="U16" s="143"/>
      <c r="V16" s="143"/>
      <c r="W16" s="141" t="s">
        <v>341</v>
      </c>
      <c r="X16" s="141" t="s">
        <v>342</v>
      </c>
      <c r="Y16" s="143" t="s">
        <v>189</v>
      </c>
      <c r="Z16" s="141" t="s">
        <v>190</v>
      </c>
      <c r="AA16" s="141" t="s">
        <v>343</v>
      </c>
      <c r="AB16" s="149">
        <v>45922.0</v>
      </c>
      <c r="AC16" s="143"/>
      <c r="AD16" s="141" t="s">
        <v>24</v>
      </c>
      <c r="AE16" s="143" t="s">
        <v>191</v>
      </c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</row>
    <row r="17">
      <c r="A17" s="146">
        <v>45930.859576331015</v>
      </c>
      <c r="B17" s="141" t="s">
        <v>259</v>
      </c>
      <c r="C17" s="141" t="s">
        <v>24</v>
      </c>
      <c r="D17" s="143"/>
      <c r="E17" s="152" t="s">
        <v>344</v>
      </c>
      <c r="F17" s="141" t="s">
        <v>304</v>
      </c>
      <c r="G17" s="141" t="s">
        <v>345</v>
      </c>
      <c r="H17" s="141" t="s">
        <v>177</v>
      </c>
      <c r="I17" s="147" t="s">
        <v>346</v>
      </c>
      <c r="J17" s="148" t="s">
        <v>347</v>
      </c>
      <c r="K17" s="141" t="s">
        <v>348</v>
      </c>
      <c r="L17" s="141" t="s">
        <v>349</v>
      </c>
      <c r="M17" s="141" t="s">
        <v>350</v>
      </c>
      <c r="N17" s="149">
        <v>37403.0</v>
      </c>
      <c r="O17" s="141" t="s">
        <v>351</v>
      </c>
      <c r="P17" s="141" t="s">
        <v>352</v>
      </c>
      <c r="Q17" s="148" t="s">
        <v>353</v>
      </c>
      <c r="R17" s="141" t="s">
        <v>271</v>
      </c>
      <c r="S17" s="141" t="s">
        <v>21</v>
      </c>
      <c r="T17" s="141" t="s">
        <v>190</v>
      </c>
      <c r="U17" s="143"/>
      <c r="V17" s="143"/>
      <c r="W17" s="141" t="s">
        <v>190</v>
      </c>
      <c r="X17" s="141" t="s">
        <v>354</v>
      </c>
      <c r="Y17" s="143" t="s">
        <v>189</v>
      </c>
      <c r="Z17" s="141" t="s">
        <v>355</v>
      </c>
      <c r="AA17" s="141" t="s">
        <v>356</v>
      </c>
      <c r="AB17" s="149">
        <v>45930.0</v>
      </c>
      <c r="AC17" s="143"/>
      <c r="AD17" s="141" t="s">
        <v>24</v>
      </c>
      <c r="AE17" s="143" t="s">
        <v>191</v>
      </c>
      <c r="AG17" s="143"/>
      <c r="AH17" s="143" t="s">
        <v>191</v>
      </c>
      <c r="AI17" s="143" t="s">
        <v>191</v>
      </c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</row>
    <row r="18">
      <c r="A18" s="146">
        <v>45722.37993969907</v>
      </c>
      <c r="B18" s="141" t="s">
        <v>259</v>
      </c>
      <c r="C18" s="141" t="s">
        <v>357</v>
      </c>
      <c r="D18" s="143"/>
      <c r="E18" s="152" t="s">
        <v>358</v>
      </c>
      <c r="F18" s="141" t="s">
        <v>359</v>
      </c>
      <c r="G18" s="141" t="s">
        <v>319</v>
      </c>
      <c r="H18" s="141" t="s">
        <v>220</v>
      </c>
      <c r="I18" s="147" t="s">
        <v>360</v>
      </c>
      <c r="J18" s="148" t="s">
        <v>361</v>
      </c>
      <c r="K18" s="141" t="s">
        <v>251</v>
      </c>
      <c r="L18" s="141" t="s">
        <v>362</v>
      </c>
      <c r="M18" s="141" t="s">
        <v>363</v>
      </c>
      <c r="N18" s="149">
        <v>38642.0</v>
      </c>
      <c r="O18" s="141" t="s">
        <v>364</v>
      </c>
      <c r="P18" s="141" t="s">
        <v>365</v>
      </c>
      <c r="Q18" s="148" t="s">
        <v>366</v>
      </c>
      <c r="R18" s="141" t="s">
        <v>184</v>
      </c>
      <c r="S18" s="141" t="s">
        <v>367</v>
      </c>
      <c r="T18" s="141" t="s">
        <v>190</v>
      </c>
      <c r="U18" s="143"/>
      <c r="V18" s="143"/>
      <c r="W18" s="141" t="s">
        <v>368</v>
      </c>
      <c r="X18" s="141" t="s">
        <v>369</v>
      </c>
      <c r="Y18" s="143" t="s">
        <v>189</v>
      </c>
      <c r="Z18" s="141" t="s">
        <v>190</v>
      </c>
      <c r="AA18" s="150">
        <v>45198.0</v>
      </c>
      <c r="AB18" s="149">
        <v>45722.0</v>
      </c>
      <c r="AC18" s="143"/>
      <c r="AD18" s="143"/>
      <c r="AE18" s="143" t="s">
        <v>191</v>
      </c>
      <c r="AG18" s="143"/>
      <c r="AH18" s="143" t="s">
        <v>191</v>
      </c>
      <c r="AI18" s="143" t="s">
        <v>191</v>
      </c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</row>
    <row r="19">
      <c r="A19" s="146">
        <v>45929.954192488425</v>
      </c>
      <c r="B19" s="141" t="s">
        <v>259</v>
      </c>
      <c r="C19" s="141" t="s">
        <v>370</v>
      </c>
      <c r="D19" s="143"/>
      <c r="E19" s="152" t="s">
        <v>371</v>
      </c>
      <c r="F19" s="141" t="s">
        <v>304</v>
      </c>
      <c r="G19" s="141" t="s">
        <v>372</v>
      </c>
      <c r="H19" s="141" t="s">
        <v>177</v>
      </c>
      <c r="I19" s="141" t="s">
        <v>371</v>
      </c>
      <c r="J19" s="148" t="s">
        <v>373</v>
      </c>
      <c r="K19" s="141" t="s">
        <v>374</v>
      </c>
      <c r="L19" s="141" t="s">
        <v>375</v>
      </c>
      <c r="M19" s="141" t="s">
        <v>376</v>
      </c>
      <c r="N19" s="149">
        <v>39156.0</v>
      </c>
      <c r="O19" s="141" t="s">
        <v>377</v>
      </c>
      <c r="P19" s="141" t="s">
        <v>378</v>
      </c>
      <c r="Q19" s="148" t="s">
        <v>379</v>
      </c>
      <c r="R19" s="141" t="s">
        <v>271</v>
      </c>
      <c r="S19" s="141" t="s">
        <v>185</v>
      </c>
      <c r="T19" s="141" t="s">
        <v>190</v>
      </c>
      <c r="U19" s="143"/>
      <c r="V19" s="143"/>
      <c r="W19" s="141" t="s">
        <v>190</v>
      </c>
      <c r="X19" s="141" t="s">
        <v>380</v>
      </c>
      <c r="Y19" s="143" t="s">
        <v>189</v>
      </c>
      <c r="Z19" s="141" t="s">
        <v>190</v>
      </c>
      <c r="AA19" s="141" t="s">
        <v>274</v>
      </c>
      <c r="AB19" s="149">
        <v>45930.0</v>
      </c>
      <c r="AC19" s="143"/>
      <c r="AD19" s="141" t="s">
        <v>24</v>
      </c>
      <c r="AE19" s="143" t="s">
        <v>191</v>
      </c>
      <c r="AG19" s="143" t="s">
        <v>191</v>
      </c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5"/>
    </row>
    <row r="20">
      <c r="A20" s="159">
        <v>45839.00183890046</v>
      </c>
      <c r="B20" s="152" t="s">
        <v>381</v>
      </c>
      <c r="C20" s="152" t="s">
        <v>382</v>
      </c>
      <c r="D20" s="160"/>
      <c r="E20" s="152" t="s">
        <v>383</v>
      </c>
      <c r="F20" s="152" t="s">
        <v>359</v>
      </c>
      <c r="G20" s="141" t="s">
        <v>332</v>
      </c>
      <c r="H20" s="152" t="s">
        <v>220</v>
      </c>
      <c r="I20" s="161" t="s">
        <v>384</v>
      </c>
      <c r="J20" s="162" t="s">
        <v>385</v>
      </c>
      <c r="K20" s="152" t="s">
        <v>386</v>
      </c>
      <c r="L20" s="152" t="s">
        <v>387</v>
      </c>
      <c r="M20" s="152" t="s">
        <v>388</v>
      </c>
      <c r="N20" s="163">
        <v>38239.0</v>
      </c>
      <c r="O20" s="152" t="s">
        <v>389</v>
      </c>
      <c r="P20" s="152" t="s">
        <v>390</v>
      </c>
      <c r="Q20" s="162" t="s">
        <v>391</v>
      </c>
      <c r="R20" s="152" t="s">
        <v>184</v>
      </c>
      <c r="S20" s="152" t="s">
        <v>21</v>
      </c>
      <c r="T20" s="152" t="s">
        <v>392</v>
      </c>
      <c r="U20" s="152" t="s">
        <v>393</v>
      </c>
      <c r="V20" s="164"/>
      <c r="W20" s="152" t="s">
        <v>394</v>
      </c>
      <c r="X20" s="152" t="s">
        <v>395</v>
      </c>
      <c r="Y20" s="160" t="s">
        <v>189</v>
      </c>
      <c r="Z20" s="152" t="s">
        <v>396</v>
      </c>
      <c r="AA20" s="165">
        <v>28991.0</v>
      </c>
      <c r="AB20" s="160"/>
      <c r="AC20" s="160"/>
      <c r="AD20" s="152" t="s">
        <v>24</v>
      </c>
      <c r="AE20" s="160"/>
      <c r="AF20" s="160"/>
      <c r="AG20" s="145"/>
      <c r="AH20" s="145"/>
      <c r="AI20" s="145" t="s">
        <v>191</v>
      </c>
      <c r="AJ20" s="145"/>
      <c r="AK20" s="145"/>
      <c r="AL20" s="145"/>
      <c r="AM20" s="143"/>
      <c r="AN20" s="143"/>
      <c r="AO20" s="143"/>
      <c r="AP20" s="143"/>
      <c r="AQ20" s="143"/>
      <c r="AR20" s="143"/>
      <c r="AS20" s="143"/>
      <c r="AT20" s="145"/>
    </row>
    <row r="21" ht="15.75" customHeight="1">
      <c r="A21" s="153">
        <v>46085.82571690972</v>
      </c>
      <c r="B21" s="154" t="s">
        <v>259</v>
      </c>
      <c r="C21" s="154" t="s">
        <v>24</v>
      </c>
      <c r="D21" s="154"/>
      <c r="E21" s="154" t="s">
        <v>397</v>
      </c>
      <c r="F21" s="154" t="s">
        <v>304</v>
      </c>
      <c r="G21" s="154" t="s">
        <v>24</v>
      </c>
      <c r="H21" s="154" t="s">
        <v>220</v>
      </c>
      <c r="I21" s="154" t="s">
        <v>397</v>
      </c>
      <c r="J21" s="156" t="s">
        <v>398</v>
      </c>
      <c r="K21" s="154" t="s">
        <v>386</v>
      </c>
      <c r="L21" s="154" t="s">
        <v>399</v>
      </c>
      <c r="M21" s="154" t="s">
        <v>400</v>
      </c>
      <c r="N21" s="157">
        <v>38504.0</v>
      </c>
      <c r="O21" s="154" t="s">
        <v>401</v>
      </c>
      <c r="P21" s="154" t="s">
        <v>402</v>
      </c>
      <c r="Q21" s="156" t="s">
        <v>403</v>
      </c>
      <c r="R21" s="154" t="s">
        <v>271</v>
      </c>
      <c r="S21" s="154" t="s">
        <v>21</v>
      </c>
      <c r="T21" s="154" t="s">
        <v>190</v>
      </c>
      <c r="U21" s="154"/>
      <c r="V21" s="154"/>
      <c r="W21" s="154" t="s">
        <v>404</v>
      </c>
      <c r="X21" s="154" t="s">
        <v>405</v>
      </c>
      <c r="Y21" s="154" t="s">
        <v>189</v>
      </c>
      <c r="Z21" s="154" t="s">
        <v>190</v>
      </c>
      <c r="AA21" s="156" t="s">
        <v>406</v>
      </c>
      <c r="AB21" s="157">
        <v>46085.0</v>
      </c>
      <c r="AC21" s="154"/>
      <c r="AD21" s="154" t="s">
        <v>24</v>
      </c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4" ref="I6"/>
    <hyperlink r:id="rId5" ref="I10"/>
    <hyperlink r:id="rId6" ref="I12"/>
    <hyperlink r:id="rId7" ref="I13"/>
    <hyperlink r:id="rId8" ref="I14"/>
    <hyperlink r:id="rId9" ref="I16"/>
    <hyperlink r:id="rId10" ref="I17"/>
    <hyperlink r:id="rId11" ref="I18"/>
    <hyperlink r:id="rId12" ref="I20"/>
  </hyperlinks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33"/>
    <col customWidth="1" min="2" max="2" width="14.33"/>
    <col customWidth="1" min="3" max="3" width="5.33"/>
    <col customWidth="1" min="4" max="4" width="5.44"/>
    <col customWidth="1" min="5" max="5" width="5.11"/>
    <col customWidth="1" min="6" max="6" width="5.33"/>
    <col customWidth="1" min="7" max="7" width="16.11"/>
    <col customWidth="1" min="8" max="8" width="18.44"/>
    <col customWidth="1" min="9" max="9" width="13.56"/>
    <col customWidth="1" min="10" max="10" width="16.67"/>
    <col customWidth="1" min="11" max="11" width="18.22"/>
    <col customWidth="1" min="12" max="12" width="19.44"/>
    <col customWidth="1" min="13" max="13" width="20.67"/>
  </cols>
  <sheetData>
    <row r="1">
      <c r="A1" s="166"/>
      <c r="B1" s="167" t="s">
        <v>407</v>
      </c>
      <c r="C1" s="166"/>
      <c r="D1" s="168" t="s">
        <v>408</v>
      </c>
      <c r="E1" s="168" t="s">
        <v>409</v>
      </c>
      <c r="F1" s="168" t="s">
        <v>410</v>
      </c>
      <c r="G1" s="169" t="s">
        <v>411</v>
      </c>
      <c r="H1" s="145"/>
      <c r="I1" s="145"/>
      <c r="J1" s="145"/>
      <c r="K1" s="145"/>
      <c r="L1" s="145"/>
      <c r="M1" s="145"/>
      <c r="N1" s="145"/>
    </row>
    <row r="2">
      <c r="A2" s="166"/>
      <c r="B2" s="167" t="s">
        <v>412</v>
      </c>
      <c r="C2" s="170"/>
      <c r="D2" s="171">
        <v>46143.0</v>
      </c>
      <c r="E2" s="171">
        <v>46144.0</v>
      </c>
      <c r="F2" s="171">
        <v>46145.0</v>
      </c>
      <c r="G2" s="172"/>
      <c r="H2" s="145"/>
      <c r="I2" s="145"/>
      <c r="J2" s="145"/>
      <c r="K2" s="145"/>
      <c r="L2" s="145"/>
      <c r="M2" s="145"/>
      <c r="N2" s="145"/>
    </row>
    <row r="3" ht="31.5" customHeight="1">
      <c r="A3" s="173"/>
      <c r="B3" s="174" t="s">
        <v>413</v>
      </c>
      <c r="C3" s="175"/>
      <c r="D3" s="176" t="s">
        <v>414</v>
      </c>
      <c r="E3" s="177" t="s">
        <v>415</v>
      </c>
      <c r="F3" s="178"/>
      <c r="G3" s="179" t="s">
        <v>416</v>
      </c>
      <c r="H3" s="145"/>
      <c r="I3" s="145"/>
      <c r="J3" s="145"/>
      <c r="K3" s="145"/>
      <c r="L3" s="145"/>
      <c r="M3" s="145"/>
      <c r="N3" s="145"/>
    </row>
    <row r="4">
      <c r="A4" s="173"/>
      <c r="B4" s="174" t="s">
        <v>417</v>
      </c>
      <c r="C4" s="175"/>
      <c r="D4" s="176" t="s">
        <v>24</v>
      </c>
      <c r="E4" s="180" t="s">
        <v>24</v>
      </c>
      <c r="F4" s="181" t="s">
        <v>24</v>
      </c>
      <c r="G4" s="172"/>
      <c r="H4" s="145"/>
      <c r="I4" s="145"/>
      <c r="J4" s="145"/>
      <c r="K4" s="145"/>
      <c r="L4" s="145"/>
      <c r="M4" s="145"/>
      <c r="N4" s="145"/>
    </row>
    <row r="5">
      <c r="A5" s="182" t="s">
        <v>418</v>
      </c>
      <c r="B5" s="183"/>
      <c r="C5" s="183"/>
      <c r="D5" s="183"/>
      <c r="E5" s="183"/>
      <c r="F5" s="184"/>
      <c r="G5" s="179" t="s">
        <v>419</v>
      </c>
      <c r="H5" s="145"/>
      <c r="I5" s="145"/>
      <c r="J5" s="145"/>
      <c r="K5" s="145"/>
      <c r="L5" s="145"/>
      <c r="M5" s="145"/>
      <c r="N5" s="145"/>
    </row>
    <row r="6">
      <c r="A6" s="185" t="s">
        <v>420</v>
      </c>
      <c r="B6" s="175"/>
      <c r="C6" s="175"/>
      <c r="D6" s="175"/>
      <c r="E6" s="175"/>
      <c r="F6" s="186"/>
      <c r="G6" s="172"/>
      <c r="H6" s="145"/>
      <c r="I6" s="145"/>
      <c r="J6" s="145"/>
      <c r="K6" s="145"/>
      <c r="L6" s="145"/>
      <c r="M6" s="145"/>
      <c r="N6" s="145"/>
    </row>
    <row r="7">
      <c r="A7" s="185" t="s">
        <v>421</v>
      </c>
      <c r="B7" s="187" t="s">
        <v>422</v>
      </c>
      <c r="C7" s="188" t="s">
        <v>423</v>
      </c>
      <c r="D7" s="175"/>
      <c r="E7" s="175"/>
      <c r="F7" s="186"/>
      <c r="G7" s="179" t="s">
        <v>424</v>
      </c>
      <c r="H7" s="145"/>
      <c r="I7" s="145"/>
      <c r="J7" s="145"/>
      <c r="K7" s="145"/>
      <c r="L7" s="145"/>
      <c r="M7" s="145"/>
      <c r="N7" s="145"/>
    </row>
    <row r="8">
      <c r="A8" s="185" t="s">
        <v>425</v>
      </c>
      <c r="B8" s="187" t="s">
        <v>426</v>
      </c>
      <c r="C8" s="189" t="s">
        <v>427</v>
      </c>
      <c r="D8" s="190" t="b">
        <v>0</v>
      </c>
      <c r="E8" s="190" t="b">
        <v>1</v>
      </c>
      <c r="F8" s="191"/>
      <c r="G8" s="192" t="s">
        <v>428</v>
      </c>
      <c r="H8" s="145"/>
      <c r="I8" s="145"/>
      <c r="J8" s="145"/>
      <c r="K8" s="145"/>
      <c r="L8" s="145"/>
      <c r="M8" s="145"/>
      <c r="N8" s="145"/>
    </row>
    <row r="9">
      <c r="A9" s="26"/>
      <c r="C9" s="189" t="s">
        <v>429</v>
      </c>
      <c r="D9" s="190" t="b">
        <v>0</v>
      </c>
      <c r="E9" s="190" t="b">
        <v>0</v>
      </c>
      <c r="F9" s="191"/>
      <c r="G9" s="179"/>
      <c r="H9" s="145"/>
      <c r="I9" s="145"/>
      <c r="J9" s="145"/>
      <c r="K9" s="145"/>
      <c r="L9" s="145"/>
      <c r="M9" s="145"/>
      <c r="N9" s="145"/>
    </row>
    <row r="10">
      <c r="A10" s="185" t="s">
        <v>430</v>
      </c>
      <c r="B10" s="175"/>
      <c r="C10" s="175"/>
      <c r="D10" s="175"/>
      <c r="E10" s="175"/>
      <c r="F10" s="186"/>
      <c r="G10" s="172"/>
      <c r="H10" s="145"/>
      <c r="I10" s="145"/>
      <c r="J10" s="145"/>
      <c r="K10" s="145"/>
      <c r="L10" s="145"/>
      <c r="M10" s="145"/>
      <c r="N10" s="145"/>
    </row>
    <row r="11">
      <c r="A11" s="193" t="s">
        <v>431</v>
      </c>
      <c r="B11" s="175"/>
      <c r="C11" s="175"/>
      <c r="D11" s="175"/>
      <c r="E11" s="175"/>
      <c r="F11" s="186"/>
      <c r="G11" s="179"/>
      <c r="H11" s="145"/>
      <c r="I11" s="145"/>
      <c r="J11" s="145"/>
      <c r="K11" s="145"/>
      <c r="L11" s="145"/>
      <c r="M11" s="145"/>
      <c r="N11" s="145"/>
    </row>
    <row r="12">
      <c r="A12" s="185" t="s">
        <v>432</v>
      </c>
      <c r="B12" s="187" t="s">
        <v>433</v>
      </c>
      <c r="C12" s="180" t="s">
        <v>423</v>
      </c>
      <c r="D12" s="190" t="b">
        <v>0</v>
      </c>
      <c r="E12" s="190" t="b">
        <v>0</v>
      </c>
      <c r="F12" s="191"/>
      <c r="G12" s="172"/>
      <c r="H12" s="145"/>
      <c r="I12" s="145"/>
      <c r="J12" s="145"/>
      <c r="K12" s="145"/>
      <c r="L12" s="145"/>
      <c r="M12" s="145"/>
      <c r="N12" s="145"/>
    </row>
    <row r="13">
      <c r="A13" s="185" t="s">
        <v>434</v>
      </c>
      <c r="B13" s="187" t="s">
        <v>435</v>
      </c>
      <c r="C13" s="180" t="s">
        <v>423</v>
      </c>
      <c r="D13" s="190" t="b">
        <v>0</v>
      </c>
      <c r="E13" s="190" t="b">
        <v>0</v>
      </c>
      <c r="F13" s="191"/>
      <c r="G13" s="179"/>
      <c r="H13" s="145"/>
      <c r="I13" s="145"/>
      <c r="J13" s="145"/>
      <c r="K13" s="145"/>
      <c r="L13" s="145"/>
      <c r="M13" s="145"/>
      <c r="N13" s="145"/>
    </row>
    <row r="14">
      <c r="A14" s="185" t="s">
        <v>436</v>
      </c>
      <c r="B14" s="187" t="s">
        <v>437</v>
      </c>
      <c r="C14" s="180" t="s">
        <v>423</v>
      </c>
      <c r="D14" s="190" t="b">
        <v>0</v>
      </c>
      <c r="E14" s="190" t="b">
        <v>0</v>
      </c>
      <c r="F14" s="191"/>
      <c r="G14" s="172"/>
      <c r="H14" s="145"/>
      <c r="I14" s="145"/>
      <c r="J14" s="145"/>
      <c r="K14" s="145"/>
      <c r="L14" s="145"/>
      <c r="M14" s="145"/>
      <c r="N14" s="145"/>
    </row>
    <row r="15">
      <c r="A15" s="185" t="s">
        <v>438</v>
      </c>
      <c r="B15" s="187" t="s">
        <v>439</v>
      </c>
      <c r="C15" s="188" t="s">
        <v>423</v>
      </c>
      <c r="D15" s="190" t="b">
        <v>0</v>
      </c>
      <c r="E15" s="190" t="b">
        <v>0</v>
      </c>
      <c r="F15" s="191"/>
      <c r="G15" s="194"/>
      <c r="H15" s="145"/>
      <c r="I15" s="145"/>
      <c r="J15" s="145"/>
      <c r="K15" s="145"/>
      <c r="L15" s="145"/>
      <c r="M15" s="145"/>
      <c r="N15" s="145"/>
    </row>
    <row r="16">
      <c r="A16" s="193" t="s">
        <v>440</v>
      </c>
      <c r="B16" s="175"/>
      <c r="C16" s="175"/>
      <c r="D16" s="175"/>
      <c r="E16" s="175"/>
      <c r="F16" s="186"/>
      <c r="G16" s="145"/>
      <c r="H16" s="145"/>
      <c r="I16" s="145"/>
      <c r="J16" s="145"/>
      <c r="K16" s="145"/>
      <c r="L16" s="145"/>
      <c r="M16" s="145"/>
      <c r="N16" s="145"/>
    </row>
    <row r="17">
      <c r="A17" s="185" t="s">
        <v>441</v>
      </c>
      <c r="B17" s="187" t="s">
        <v>442</v>
      </c>
      <c r="C17" s="180" t="s">
        <v>423</v>
      </c>
      <c r="D17" s="190" t="b">
        <v>0</v>
      </c>
      <c r="E17" s="190" t="b">
        <v>0</v>
      </c>
      <c r="F17" s="191"/>
      <c r="G17" s="145"/>
      <c r="H17" s="145"/>
      <c r="I17" s="145"/>
      <c r="J17" s="195" t="s">
        <v>443</v>
      </c>
      <c r="K17" s="145"/>
      <c r="L17" s="145"/>
      <c r="M17" s="145"/>
      <c r="N17" s="145"/>
    </row>
    <row r="18">
      <c r="A18" s="185"/>
      <c r="B18" s="196" t="s">
        <v>444</v>
      </c>
      <c r="C18" s="175" t="s">
        <v>423</v>
      </c>
      <c r="D18" s="190" t="b">
        <v>0</v>
      </c>
      <c r="E18" s="190" t="b">
        <v>0</v>
      </c>
      <c r="F18" s="186"/>
      <c r="G18" s="145"/>
      <c r="H18" s="145"/>
      <c r="I18" s="145"/>
      <c r="J18" s="145"/>
      <c r="K18" s="145"/>
      <c r="L18" s="145"/>
      <c r="M18" s="145"/>
      <c r="N18" s="145"/>
    </row>
    <row r="19">
      <c r="A19" s="185"/>
      <c r="B19" s="175"/>
      <c r="C19" s="175"/>
      <c r="D19" s="175"/>
      <c r="E19" s="175"/>
      <c r="F19" s="186"/>
      <c r="G19" s="145"/>
      <c r="H19" s="145"/>
      <c r="I19" s="145"/>
      <c r="J19" s="145"/>
      <c r="K19" s="145"/>
      <c r="L19" s="145"/>
      <c r="M19" s="145"/>
      <c r="N19" s="145"/>
    </row>
    <row r="20">
      <c r="A20" s="185" t="s">
        <v>445</v>
      </c>
      <c r="B20" s="175"/>
      <c r="C20" s="175"/>
      <c r="D20" s="190" t="b">
        <v>0</v>
      </c>
      <c r="E20" s="190" t="b">
        <v>0</v>
      </c>
      <c r="F20" s="191"/>
      <c r="G20" s="172" t="s">
        <v>446</v>
      </c>
      <c r="H20" s="172"/>
      <c r="I20" s="145"/>
      <c r="J20" s="145"/>
      <c r="K20" s="145"/>
      <c r="L20" s="145"/>
      <c r="M20" s="145"/>
      <c r="N20" s="145"/>
    </row>
    <row r="21" ht="15.75" customHeight="1">
      <c r="A21" s="185" t="s">
        <v>447</v>
      </c>
      <c r="B21" s="175"/>
      <c r="C21" s="175"/>
      <c r="D21" s="190" t="b">
        <v>0</v>
      </c>
      <c r="E21" s="190" t="b">
        <v>0</v>
      </c>
      <c r="F21" s="191"/>
      <c r="G21" s="145"/>
      <c r="H21" s="145"/>
      <c r="I21" s="145"/>
      <c r="J21" s="145"/>
      <c r="K21" s="145"/>
      <c r="L21" s="145"/>
      <c r="M21" s="145"/>
      <c r="N21" s="145"/>
    </row>
    <row r="22" ht="15.75" customHeight="1">
      <c r="A22" s="185" t="s">
        <v>448</v>
      </c>
      <c r="B22" s="175"/>
      <c r="C22" s="175"/>
      <c r="D22" s="190" t="b">
        <v>0</v>
      </c>
      <c r="E22" s="190" t="b">
        <v>0</v>
      </c>
      <c r="F22" s="191"/>
      <c r="G22" s="145"/>
      <c r="H22" s="145"/>
      <c r="I22" s="145"/>
      <c r="J22" s="145"/>
      <c r="K22" s="145"/>
      <c r="L22" s="145"/>
      <c r="M22" s="145"/>
      <c r="N22" s="145"/>
    </row>
    <row r="23" ht="15.75" customHeight="1">
      <c r="A23" s="185" t="s">
        <v>449</v>
      </c>
      <c r="B23" s="197" t="s">
        <v>450</v>
      </c>
      <c r="C23" s="175"/>
      <c r="D23" s="175"/>
      <c r="E23" s="175"/>
      <c r="F23" s="186"/>
      <c r="G23" s="172" t="s">
        <v>451</v>
      </c>
      <c r="H23" s="172"/>
      <c r="I23" s="145"/>
      <c r="J23" s="145"/>
      <c r="K23" s="145"/>
      <c r="L23" s="145"/>
      <c r="M23" s="145"/>
      <c r="N23" s="145"/>
    </row>
    <row r="24" ht="15.75" customHeight="1">
      <c r="A24" s="198" t="s">
        <v>452</v>
      </c>
      <c r="B24" s="199" t="s">
        <v>453</v>
      </c>
      <c r="C24" s="200"/>
      <c r="D24" s="200"/>
      <c r="E24" s="200"/>
      <c r="F24" s="201"/>
      <c r="G24" s="145"/>
      <c r="H24" s="145"/>
      <c r="I24" s="145"/>
      <c r="J24" s="145"/>
      <c r="K24" s="145"/>
      <c r="L24" s="145"/>
      <c r="M24" s="145"/>
      <c r="N24" s="145"/>
    </row>
    <row r="25" ht="15.75" customHeight="1">
      <c r="A25" s="202" t="s">
        <v>454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</row>
    <row r="26" ht="15.75" customHeight="1">
      <c r="A26" s="172" t="s">
        <v>455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</row>
    <row r="27" ht="15.75" customHeight="1">
      <c r="A27" s="179" t="s">
        <v>456</v>
      </c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</row>
    <row r="28" ht="15.75" customHeight="1">
      <c r="A28" s="179" t="s">
        <v>457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</row>
    <row r="29" ht="15.75" customHeight="1">
      <c r="A29" s="172" t="s">
        <v>458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</row>
    <row r="30" ht="15.75" customHeight="1">
      <c r="A30" s="179" t="s">
        <v>459</v>
      </c>
      <c r="B30" s="145"/>
      <c r="C30" s="145"/>
      <c r="D30" s="145"/>
      <c r="E30" s="145"/>
      <c r="F30" s="145"/>
      <c r="G30" s="145"/>
      <c r="I30" s="145"/>
      <c r="J30" s="145"/>
      <c r="K30" s="145"/>
      <c r="L30" s="145"/>
      <c r="M30" s="145"/>
    </row>
    <row r="31" ht="15.75" customHeight="1">
      <c r="A31" s="172" t="s">
        <v>460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</row>
    <row r="32" ht="15.75" customHeight="1">
      <c r="A32" s="179" t="s">
        <v>461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</row>
    <row r="33" ht="15.75" customHeight="1">
      <c r="A33" s="179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ht="15.75" customHeight="1">
      <c r="A34" s="179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ht="15.75" customHeight="1">
      <c r="A35" s="179"/>
      <c r="B35" s="145"/>
      <c r="C35" s="145"/>
      <c r="D35" s="145"/>
      <c r="E35" s="145"/>
      <c r="F35" s="145"/>
      <c r="G35" s="145"/>
      <c r="H35" s="145"/>
      <c r="I35" s="203"/>
      <c r="J35" s="145"/>
      <c r="K35" s="145"/>
      <c r="L35" s="145"/>
      <c r="M35" s="145"/>
    </row>
    <row r="36" ht="15.75" customHeight="1">
      <c r="A36" s="202" t="s">
        <v>462</v>
      </c>
      <c r="B36" s="204"/>
      <c r="C36" s="205"/>
      <c r="D36" s="205"/>
      <c r="E36" s="205"/>
      <c r="F36" s="206"/>
      <c r="G36" s="206" t="s">
        <v>463</v>
      </c>
      <c r="H36" s="206" t="s">
        <v>464</v>
      </c>
      <c r="I36" s="202" t="s">
        <v>465</v>
      </c>
      <c r="J36" s="202" t="s">
        <v>466</v>
      </c>
      <c r="K36" s="202" t="s">
        <v>463</v>
      </c>
      <c r="L36" s="202" t="s">
        <v>466</v>
      </c>
      <c r="M36" s="204"/>
    </row>
    <row r="37" ht="35.25" customHeight="1">
      <c r="A37" s="202" t="s">
        <v>467</v>
      </c>
      <c r="C37" s="206" t="s">
        <v>462</v>
      </c>
      <c r="G37" s="207" t="s">
        <v>468</v>
      </c>
      <c r="H37" s="208" t="s">
        <v>469</v>
      </c>
      <c r="I37" s="208" t="s">
        <v>470</v>
      </c>
      <c r="J37" s="208" t="s">
        <v>471</v>
      </c>
      <c r="K37" s="208" t="s">
        <v>472</v>
      </c>
      <c r="L37" s="209" t="s">
        <v>473</v>
      </c>
      <c r="M37" s="202" t="s">
        <v>462</v>
      </c>
    </row>
    <row r="38" ht="17.25" customHeight="1">
      <c r="G38" s="210" t="s">
        <v>474</v>
      </c>
      <c r="M38" s="202"/>
    </row>
    <row r="39" ht="15.75" customHeight="1">
      <c r="A39" s="211" t="s">
        <v>475</v>
      </c>
      <c r="B39" s="204"/>
      <c r="C39" s="212"/>
      <c r="G39" s="212"/>
      <c r="H39" s="212"/>
      <c r="I39" s="211"/>
      <c r="J39" s="211"/>
      <c r="K39" s="211"/>
      <c r="L39" s="211"/>
      <c r="M39" s="211"/>
    </row>
    <row r="40" ht="15.75" customHeight="1">
      <c r="A40" s="195" t="s">
        <v>476</v>
      </c>
      <c r="B40" s="145"/>
      <c r="C40" s="213" t="s">
        <v>477</v>
      </c>
      <c r="G40" s="214"/>
      <c r="H40" s="214"/>
      <c r="I40" s="195"/>
      <c r="J40" s="195"/>
      <c r="K40" s="195"/>
      <c r="L40" s="195"/>
      <c r="M40" s="215" t="s">
        <v>478</v>
      </c>
    </row>
    <row r="41" ht="15.75" customHeight="1">
      <c r="A41" s="145"/>
      <c r="B41" s="145"/>
      <c r="C41" s="216" t="s">
        <v>479</v>
      </c>
      <c r="G41" s="214"/>
      <c r="H41" s="214"/>
      <c r="I41" s="195"/>
      <c r="J41" s="195"/>
      <c r="K41" s="195"/>
      <c r="L41" s="195"/>
      <c r="M41" s="212" t="s">
        <v>479</v>
      </c>
    </row>
    <row r="42" ht="15.75" customHeight="1">
      <c r="A42" s="195" t="s">
        <v>480</v>
      </c>
      <c r="B42" s="145"/>
      <c r="C42" s="215" t="s">
        <v>481</v>
      </c>
      <c r="G42" s="217" t="s">
        <v>482</v>
      </c>
      <c r="H42" s="214"/>
      <c r="I42" s="217" t="s">
        <v>483</v>
      </c>
      <c r="J42" s="195"/>
      <c r="K42" s="195"/>
      <c r="L42" s="195">
        <v>1337.0</v>
      </c>
      <c r="M42" s="215" t="s">
        <v>481</v>
      </c>
    </row>
    <row r="43" ht="15.75" customHeight="1">
      <c r="A43" s="145"/>
      <c r="B43" s="145"/>
      <c r="C43" s="212" t="s">
        <v>484</v>
      </c>
      <c r="G43" s="217" t="s">
        <v>485</v>
      </c>
      <c r="H43" s="214"/>
      <c r="I43" s="217" t="s">
        <v>485</v>
      </c>
      <c r="J43" s="195"/>
      <c r="K43" s="195"/>
      <c r="L43" s="195"/>
      <c r="M43" s="212" t="s">
        <v>484</v>
      </c>
    </row>
    <row r="44" ht="15.75" customHeight="1">
      <c r="A44" s="195" t="s">
        <v>486</v>
      </c>
      <c r="B44" s="145"/>
      <c r="C44" s="213" t="s">
        <v>487</v>
      </c>
      <c r="G44" s="217" t="s">
        <v>488</v>
      </c>
      <c r="H44" s="214"/>
      <c r="I44" s="217" t="s">
        <v>489</v>
      </c>
      <c r="J44" s="195"/>
      <c r="K44" s="195"/>
      <c r="L44" s="218" t="s">
        <v>490</v>
      </c>
      <c r="M44" s="213" t="s">
        <v>487</v>
      </c>
    </row>
    <row r="45" ht="15.75" customHeight="1">
      <c r="A45" s="145"/>
      <c r="B45" s="145"/>
      <c r="C45" s="212" t="s">
        <v>491</v>
      </c>
      <c r="G45" s="217" t="s">
        <v>485</v>
      </c>
      <c r="H45" s="214"/>
      <c r="I45" s="217" t="s">
        <v>485</v>
      </c>
      <c r="J45" s="195"/>
      <c r="K45" s="195"/>
      <c r="L45" s="195"/>
      <c r="M45" s="212" t="s">
        <v>491</v>
      </c>
    </row>
    <row r="46" ht="15.75" customHeight="1">
      <c r="A46" s="195" t="s">
        <v>492</v>
      </c>
      <c r="B46" s="145"/>
      <c r="C46" s="215" t="s">
        <v>493</v>
      </c>
      <c r="G46" s="217" t="s">
        <v>494</v>
      </c>
      <c r="H46" s="214"/>
      <c r="I46" s="217" t="s">
        <v>495</v>
      </c>
      <c r="J46" s="195"/>
      <c r="K46" s="195"/>
      <c r="L46" s="219" t="s">
        <v>496</v>
      </c>
      <c r="M46" s="215" t="s">
        <v>493</v>
      </c>
    </row>
    <row r="47" ht="15.75" customHeight="1">
      <c r="A47" s="145"/>
      <c r="B47" s="145"/>
      <c r="C47" s="212" t="s">
        <v>497</v>
      </c>
      <c r="G47" s="214"/>
      <c r="H47" s="214"/>
      <c r="I47" s="214"/>
      <c r="J47" s="195"/>
      <c r="K47" s="195"/>
      <c r="L47" s="195"/>
      <c r="M47" s="212" t="s">
        <v>497</v>
      </c>
    </row>
    <row r="48" ht="15.75" customHeight="1">
      <c r="A48" s="195" t="s">
        <v>498</v>
      </c>
      <c r="B48" s="145"/>
      <c r="C48" s="215" t="s">
        <v>499</v>
      </c>
      <c r="G48" s="214"/>
      <c r="H48" s="214"/>
      <c r="I48" s="214"/>
      <c r="J48" s="195"/>
      <c r="K48" s="195"/>
      <c r="L48" s="219" t="s">
        <v>500</v>
      </c>
      <c r="M48" s="215" t="s">
        <v>499</v>
      </c>
    </row>
    <row r="49" ht="15.75" customHeight="1">
      <c r="A49" s="145"/>
      <c r="B49" s="145"/>
      <c r="C49" s="212" t="s">
        <v>497</v>
      </c>
      <c r="G49" s="214"/>
      <c r="H49" s="214"/>
      <c r="I49" s="214"/>
      <c r="J49" s="195"/>
      <c r="K49" s="195"/>
      <c r="L49" s="195"/>
      <c r="M49" s="212" t="s">
        <v>497</v>
      </c>
    </row>
    <row r="50" ht="15.75" customHeight="1">
      <c r="A50" s="195" t="s">
        <v>501</v>
      </c>
      <c r="B50" s="145"/>
      <c r="C50" s="215" t="s">
        <v>502</v>
      </c>
      <c r="G50" s="214"/>
      <c r="H50" s="214"/>
      <c r="I50" s="214"/>
      <c r="J50" s="195"/>
      <c r="K50" s="195"/>
      <c r="L50" s="219" t="s">
        <v>503</v>
      </c>
      <c r="M50" s="215" t="s">
        <v>502</v>
      </c>
    </row>
    <row r="51" ht="15.75" customHeight="1">
      <c r="A51" s="145"/>
      <c r="B51" s="145"/>
      <c r="C51" s="212" t="s">
        <v>497</v>
      </c>
      <c r="G51" s="214"/>
      <c r="H51" s="214"/>
      <c r="I51" s="214"/>
      <c r="J51" s="195"/>
      <c r="K51" s="195"/>
      <c r="L51" s="195"/>
      <c r="M51" s="212" t="s">
        <v>497</v>
      </c>
    </row>
    <row r="52" ht="15.75" customHeight="1">
      <c r="A52" s="195" t="s">
        <v>504</v>
      </c>
      <c r="B52" s="145"/>
      <c r="C52" s="215" t="s">
        <v>505</v>
      </c>
      <c r="G52" s="214"/>
      <c r="H52" s="214"/>
      <c r="I52" s="214"/>
      <c r="J52" s="220"/>
      <c r="K52" s="195"/>
      <c r="L52" s="195">
        <v>1020.0</v>
      </c>
      <c r="M52" s="215" t="s">
        <v>505</v>
      </c>
    </row>
    <row r="53" ht="15.75" customHeight="1">
      <c r="A53" s="211" t="s">
        <v>506</v>
      </c>
      <c r="B53" s="204"/>
      <c r="C53" s="212"/>
      <c r="G53" s="212"/>
      <c r="H53" s="212"/>
      <c r="I53" s="211"/>
      <c r="J53" s="211"/>
      <c r="K53" s="211"/>
      <c r="L53" s="211"/>
      <c r="M53" s="215"/>
    </row>
    <row r="54" ht="15.75" customHeight="1">
      <c r="A54" s="195" t="s">
        <v>504</v>
      </c>
      <c r="B54" s="195"/>
      <c r="C54" s="213" t="s">
        <v>481</v>
      </c>
      <c r="G54" s="214"/>
      <c r="H54" s="214"/>
      <c r="I54" s="195"/>
      <c r="J54" s="195"/>
      <c r="K54" s="195"/>
      <c r="L54" s="195">
        <v>1020.0</v>
      </c>
      <c r="M54" s="213" t="s">
        <v>481</v>
      </c>
    </row>
    <row r="55" ht="15.75" customHeight="1">
      <c r="A55" s="195"/>
      <c r="B55" s="195"/>
      <c r="C55" s="212"/>
      <c r="G55" s="214"/>
      <c r="H55" s="214"/>
      <c r="I55" s="195"/>
      <c r="J55" s="195"/>
      <c r="K55" s="195"/>
      <c r="L55" s="195"/>
      <c r="M55" s="215"/>
    </row>
    <row r="56" ht="15.75" customHeight="1">
      <c r="A56" s="221" t="s">
        <v>507</v>
      </c>
      <c r="B56" s="221"/>
      <c r="C56" s="213" t="s">
        <v>508</v>
      </c>
      <c r="G56" s="222"/>
      <c r="H56" s="222"/>
      <c r="I56" s="221"/>
      <c r="J56" s="221"/>
      <c r="K56" s="221"/>
      <c r="L56" s="221">
        <v>1140.0</v>
      </c>
      <c r="M56" s="213" t="s">
        <v>508</v>
      </c>
    </row>
    <row r="57" ht="15.75" customHeight="1">
      <c r="A57" s="223" t="s">
        <v>509</v>
      </c>
      <c r="B57" s="223"/>
      <c r="C57" s="212"/>
      <c r="G57" s="223"/>
      <c r="H57" s="223"/>
      <c r="I57" s="223"/>
      <c r="J57" s="223"/>
      <c r="K57" s="223"/>
      <c r="L57" s="223"/>
      <c r="M57" s="224"/>
    </row>
    <row r="58" ht="15.75" customHeight="1">
      <c r="A58" s="223" t="s">
        <v>510</v>
      </c>
      <c r="B58" s="223"/>
      <c r="C58" s="213" t="s">
        <v>511</v>
      </c>
      <c r="G58" s="223"/>
      <c r="H58" s="223"/>
      <c r="I58" s="223"/>
      <c r="J58" s="223"/>
      <c r="K58" s="223"/>
      <c r="L58" s="223"/>
      <c r="M58" s="225" t="s">
        <v>511</v>
      </c>
    </row>
    <row r="59" ht="15.75" customHeight="1">
      <c r="A59" s="223" t="s">
        <v>512</v>
      </c>
      <c r="B59" s="223"/>
      <c r="C59" s="212"/>
      <c r="G59" s="223"/>
      <c r="H59" s="223"/>
      <c r="I59" s="223"/>
      <c r="J59" s="223"/>
      <c r="K59" s="223"/>
      <c r="L59" s="223"/>
      <c r="M59" s="224"/>
    </row>
    <row r="60" ht="15.75" customHeight="1">
      <c r="A60" s="223" t="s">
        <v>513</v>
      </c>
      <c r="B60" s="223"/>
      <c r="C60" s="215" t="s">
        <v>514</v>
      </c>
      <c r="G60" s="223"/>
      <c r="H60" s="223">
        <v>1156.0</v>
      </c>
      <c r="I60" s="223"/>
      <c r="J60" s="223">
        <v>1302.0</v>
      </c>
      <c r="K60" s="223"/>
      <c r="L60" s="223"/>
      <c r="M60" s="224" t="s">
        <v>514</v>
      </c>
    </row>
    <row r="61" ht="15.75" customHeight="1">
      <c r="A61" s="226"/>
      <c r="B61" s="226"/>
      <c r="C61" s="212"/>
      <c r="G61" s="226"/>
      <c r="H61" s="217" t="s">
        <v>515</v>
      </c>
      <c r="I61" s="226"/>
      <c r="J61" s="226"/>
      <c r="K61" s="226"/>
      <c r="L61" s="226"/>
      <c r="M61" s="224"/>
    </row>
    <row r="62" ht="15.75" customHeight="1">
      <c r="A62" s="226" t="s">
        <v>516</v>
      </c>
      <c r="B62" s="226"/>
      <c r="C62" s="215" t="s">
        <v>517</v>
      </c>
      <c r="G62" s="226"/>
      <c r="H62" s="217" t="s">
        <v>515</v>
      </c>
      <c r="I62" s="226"/>
      <c r="J62" s="226">
        <v>1325.0</v>
      </c>
      <c r="K62" s="226"/>
      <c r="L62" s="226"/>
      <c r="M62" s="224"/>
    </row>
    <row r="63" ht="15.75" customHeight="1">
      <c r="A63" s="226"/>
      <c r="B63" s="226"/>
      <c r="C63" s="212"/>
      <c r="G63" s="226"/>
      <c r="H63" s="217" t="s">
        <v>515</v>
      </c>
      <c r="I63" s="226"/>
      <c r="J63" s="226"/>
      <c r="K63" s="226"/>
      <c r="L63" s="226"/>
      <c r="M63" s="224"/>
    </row>
    <row r="64" ht="15.75" customHeight="1">
      <c r="A64" s="226" t="s">
        <v>518</v>
      </c>
      <c r="B64" s="226"/>
      <c r="C64" s="215" t="s">
        <v>519</v>
      </c>
      <c r="G64" s="226"/>
      <c r="H64" s="227">
        <v>1307.0</v>
      </c>
      <c r="I64" s="226"/>
      <c r="J64" s="226">
        <v>1414.0</v>
      </c>
      <c r="K64" s="226"/>
      <c r="L64" s="226"/>
      <c r="M64" s="224" t="s">
        <v>519</v>
      </c>
    </row>
    <row r="65" ht="15.75" customHeight="1">
      <c r="A65" s="226"/>
      <c r="B65" s="226"/>
      <c r="C65" s="212"/>
      <c r="G65" s="226"/>
      <c r="H65" s="217" t="s">
        <v>515</v>
      </c>
      <c r="I65" s="226"/>
      <c r="J65" s="226"/>
      <c r="K65" s="226"/>
      <c r="L65" s="226"/>
      <c r="M65" s="224"/>
    </row>
    <row r="66" ht="15.75" customHeight="1">
      <c r="A66" s="226" t="s">
        <v>520</v>
      </c>
      <c r="B66" s="226"/>
      <c r="C66" s="215" t="s">
        <v>505</v>
      </c>
      <c r="G66" s="226"/>
      <c r="H66" s="217" t="s">
        <v>515</v>
      </c>
      <c r="I66" s="226"/>
      <c r="J66" s="226">
        <v>1614.0</v>
      </c>
      <c r="K66" s="226"/>
      <c r="L66" s="226"/>
      <c r="M66" s="224" t="s">
        <v>505</v>
      </c>
    </row>
    <row r="67" ht="15.75" customHeight="1">
      <c r="A67" s="226"/>
      <c r="B67" s="226"/>
      <c r="C67" s="212"/>
      <c r="G67" s="226"/>
      <c r="H67" s="217" t="s">
        <v>515</v>
      </c>
      <c r="I67" s="226"/>
      <c r="J67" s="226"/>
      <c r="K67" s="226"/>
      <c r="L67" s="226"/>
      <c r="M67" s="224"/>
    </row>
    <row r="68" ht="15.75" customHeight="1">
      <c r="A68" s="226" t="s">
        <v>521</v>
      </c>
      <c r="B68" s="226"/>
      <c r="C68" s="215" t="s">
        <v>522</v>
      </c>
      <c r="G68" s="226"/>
      <c r="H68" s="227">
        <v>1606.0</v>
      </c>
      <c r="I68" s="226"/>
      <c r="J68" s="226">
        <v>1711.0</v>
      </c>
      <c r="K68" s="226"/>
      <c r="L68" s="226"/>
      <c r="M68" s="224" t="s">
        <v>522</v>
      </c>
    </row>
    <row r="69" ht="15.75" customHeight="1">
      <c r="A69" s="211" t="s">
        <v>523</v>
      </c>
      <c r="B69" s="228"/>
      <c r="C69" s="212"/>
      <c r="G69" s="228"/>
      <c r="H69" s="228"/>
      <c r="I69" s="228"/>
      <c r="J69" s="228"/>
      <c r="K69" s="228"/>
      <c r="L69" s="228"/>
      <c r="M69" s="224"/>
    </row>
    <row r="70" ht="15.75" customHeight="1">
      <c r="A70" s="226" t="s">
        <v>521</v>
      </c>
      <c r="B70" s="226"/>
      <c r="C70" s="213" t="s">
        <v>524</v>
      </c>
      <c r="G70" s="226"/>
      <c r="H70" s="226">
        <v>1640.0</v>
      </c>
      <c r="I70" s="226"/>
      <c r="J70" s="229" t="s">
        <v>525</v>
      </c>
      <c r="K70" s="226"/>
      <c r="L70" s="226"/>
      <c r="M70" s="225" t="s">
        <v>524</v>
      </c>
    </row>
    <row r="71" ht="15.75" customHeight="1">
      <c r="A71" s="226"/>
      <c r="B71" s="226"/>
      <c r="C71" s="212"/>
      <c r="G71" s="226"/>
      <c r="H71" s="217" t="s">
        <v>485</v>
      </c>
      <c r="I71" s="226"/>
      <c r="J71" s="226"/>
      <c r="K71" s="226"/>
      <c r="L71" s="226"/>
      <c r="M71" s="224"/>
    </row>
    <row r="72" ht="15.75" customHeight="1">
      <c r="A72" s="226" t="s">
        <v>526</v>
      </c>
      <c r="B72" s="226"/>
      <c r="C72" s="213" t="s">
        <v>508</v>
      </c>
      <c r="G72" s="226"/>
      <c r="H72" s="226">
        <v>1556.0</v>
      </c>
      <c r="I72" s="226"/>
      <c r="J72" s="229" t="s">
        <v>527</v>
      </c>
      <c r="K72" s="229" t="s">
        <v>528</v>
      </c>
      <c r="L72" s="226"/>
      <c r="M72" s="225" t="s">
        <v>508</v>
      </c>
    </row>
    <row r="73" ht="15.75" customHeight="1">
      <c r="A73" s="226"/>
      <c r="B73" s="226"/>
      <c r="C73" s="212"/>
      <c r="G73" s="226"/>
      <c r="H73" s="217" t="s">
        <v>485</v>
      </c>
      <c r="I73" s="226"/>
      <c r="J73" s="226"/>
      <c r="K73" s="227" t="s">
        <v>529</v>
      </c>
      <c r="L73" s="226"/>
      <c r="M73" s="224"/>
    </row>
    <row r="74" ht="15.75" customHeight="1">
      <c r="A74" s="226" t="s">
        <v>530</v>
      </c>
      <c r="B74" s="226"/>
      <c r="C74" s="215" t="s">
        <v>531</v>
      </c>
      <c r="G74" s="226"/>
      <c r="H74" s="226">
        <v>1300.0</v>
      </c>
      <c r="I74" s="226"/>
      <c r="J74" s="226">
        <v>1100.0</v>
      </c>
      <c r="K74" s="226">
        <v>1334.0</v>
      </c>
      <c r="L74" s="226"/>
      <c r="M74" s="224" t="s">
        <v>531</v>
      </c>
    </row>
    <row r="75" ht="15.75" customHeight="1">
      <c r="A75" s="226"/>
      <c r="B75" s="226"/>
      <c r="C75" s="212"/>
      <c r="G75" s="226"/>
      <c r="H75" s="217" t="s">
        <v>485</v>
      </c>
      <c r="I75" s="226"/>
      <c r="J75" s="226"/>
      <c r="K75" s="226"/>
      <c r="L75" s="226"/>
      <c r="M75" s="224"/>
    </row>
    <row r="76" ht="15.75" customHeight="1">
      <c r="A76" s="226" t="s">
        <v>532</v>
      </c>
      <c r="B76" s="226"/>
      <c r="C76" s="215" t="s">
        <v>533</v>
      </c>
      <c r="G76" s="226"/>
      <c r="H76" s="226">
        <v>1100.0</v>
      </c>
      <c r="I76" s="226"/>
      <c r="J76" s="226">
        <v>1430.0</v>
      </c>
      <c r="K76" s="226">
        <v>1624.0</v>
      </c>
      <c r="L76" s="226"/>
      <c r="M76" s="224" t="s">
        <v>533</v>
      </c>
    </row>
    <row r="77" ht="15.75" customHeight="1">
      <c r="A77" s="226"/>
      <c r="B77" s="226"/>
      <c r="C77" s="212"/>
      <c r="G77" s="226"/>
      <c r="H77" s="226"/>
      <c r="I77" s="226"/>
      <c r="J77" s="226"/>
      <c r="K77" s="226"/>
      <c r="L77" s="226"/>
      <c r="M77" s="228"/>
    </row>
    <row r="78" ht="15.75" customHeight="1">
      <c r="A78" s="226"/>
      <c r="B78" s="226"/>
      <c r="C78" s="214"/>
      <c r="G78" s="226"/>
      <c r="H78" s="226"/>
      <c r="I78" s="226"/>
      <c r="J78" s="226"/>
      <c r="K78" s="226"/>
      <c r="L78" s="226"/>
      <c r="M78" s="226"/>
    </row>
    <row r="79" ht="15.75" customHeight="1">
      <c r="A79" s="226"/>
      <c r="B79" s="226"/>
      <c r="C79" s="214"/>
      <c r="G79" s="226"/>
      <c r="H79" s="226"/>
      <c r="I79" s="226"/>
      <c r="J79" s="226"/>
      <c r="K79" s="226"/>
      <c r="L79" s="226"/>
      <c r="M79" s="226"/>
    </row>
    <row r="80" ht="15.75" customHeight="1">
      <c r="A80" s="226"/>
      <c r="B80" s="226"/>
      <c r="C80" s="214"/>
      <c r="G80" s="226"/>
      <c r="H80" s="226"/>
      <c r="I80" s="226"/>
      <c r="J80" s="226"/>
      <c r="K80" s="226"/>
      <c r="L80" s="226"/>
      <c r="M80" s="226"/>
    </row>
    <row r="81" ht="15.75" customHeight="1">
      <c r="A81" s="226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</row>
    <row r="82" ht="15.75" customHeight="1">
      <c r="A82" s="226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</row>
    <row r="83" ht="15.75" customHeight="1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</row>
    <row r="84" ht="15.75" customHeight="1">
      <c r="A84" s="226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</row>
    <row r="85" ht="15.75" customHeight="1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</row>
    <row r="86" ht="15.75" customHeight="1">
      <c r="A86" s="226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</row>
    <row r="87" ht="15.75" customHeight="1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</row>
    <row r="88" ht="15.75" customHeight="1">
      <c r="A88" s="226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</row>
    <row r="89" ht="15.75" customHeight="1">
      <c r="A89" s="226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</row>
    <row r="90" ht="15.75" customHeight="1">
      <c r="A90" s="226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</row>
    <row r="91" ht="15.75" customHeight="1">
      <c r="A91" s="226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</row>
    <row r="92" ht="15.75" customHeight="1">
      <c r="A92" s="226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</row>
    <row r="93" ht="15.75" customHeight="1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</row>
    <row r="94" ht="15.75" customHeight="1">
      <c r="A94" s="226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</row>
    <row r="95" ht="15.75" customHeight="1">
      <c r="A95" s="226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</row>
    <row r="96" ht="15.75" customHeight="1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</row>
    <row r="97" ht="15.75" customHeight="1">
      <c r="A97" s="226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</row>
    <row r="98" ht="15.75" customHeight="1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K37:K38"/>
    <mergeCell ref="L37:L38"/>
    <mergeCell ref="A8:A9"/>
    <mergeCell ref="B8:B9"/>
    <mergeCell ref="A37:B38"/>
    <mergeCell ref="C37:F38"/>
    <mergeCell ref="H37:H38"/>
    <mergeCell ref="I37:I38"/>
    <mergeCell ref="J37:J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74:F74"/>
    <mergeCell ref="C75:F75"/>
    <mergeCell ref="C76:F76"/>
    <mergeCell ref="C77:F77"/>
    <mergeCell ref="C78:F78"/>
    <mergeCell ref="C79:F79"/>
    <mergeCell ref="C80:F80"/>
    <mergeCell ref="C67:F67"/>
    <mergeCell ref="C68:F68"/>
    <mergeCell ref="C69:F69"/>
    <mergeCell ref="C70:F70"/>
    <mergeCell ref="C71:F71"/>
    <mergeCell ref="C72:F72"/>
    <mergeCell ref="C73:F73"/>
  </mergeCells>
  <hyperlinks>
    <hyperlink r:id="rId1" ref="G3"/>
    <hyperlink r:id="rId2" ref="G5"/>
    <hyperlink r:id="rId3" ref="B7"/>
    <hyperlink r:id="rId4" ref="G7"/>
    <hyperlink r:id="rId5" ref="B8"/>
    <hyperlink r:id="rId6" location="?c=&amp;m=&amp;s=&amp;cv=" ref="G8"/>
    <hyperlink r:id="rId7" ref="B12"/>
    <hyperlink r:id="rId8" ref="B13"/>
    <hyperlink r:id="rId9" ref="B14"/>
    <hyperlink r:id="rId10" ref="B15"/>
    <hyperlink r:id="rId11" ref="B17"/>
    <hyperlink r:id="rId12" ref="B18"/>
    <hyperlink r:id="rId13" ref="B23"/>
    <hyperlink r:id="rId14" ref="B24"/>
    <hyperlink r:id="rId15" ref="A27"/>
    <hyperlink r:id="rId16" ref="A28"/>
    <hyperlink r:id="rId17" ref="A30"/>
    <hyperlink r:id="rId18" ref="A32"/>
    <hyperlink r:id="rId19" ref="G37"/>
    <hyperlink r:id="rId20" ref="H37"/>
    <hyperlink r:id="rId21" ref="I37"/>
    <hyperlink r:id="rId22" ref="J37"/>
    <hyperlink r:id="rId23" ref="K37"/>
    <hyperlink r:id="rId24" ref="G38"/>
  </hyperlinks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4.67"/>
    <col customWidth="1" min="3" max="3" width="8.11"/>
    <col customWidth="1" min="4" max="4" width="11.22"/>
    <col customWidth="1" min="5" max="5" width="5.22"/>
    <col customWidth="1" min="6" max="6" width="11.22"/>
    <col customWidth="1" min="7" max="7" width="13.0"/>
    <col customWidth="1" min="8" max="8" width="23.33"/>
    <col customWidth="1" min="9" max="9" width="39.33"/>
    <col customWidth="1" min="10" max="10" width="13.78"/>
    <col customWidth="1" min="11" max="11" width="12.44"/>
  </cols>
  <sheetData>
    <row r="1">
      <c r="A1" s="230" t="s">
        <v>534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>
      <c r="A2" s="231" t="s">
        <v>535</v>
      </c>
      <c r="B2" s="232" t="s">
        <v>536</v>
      </c>
      <c r="C2" s="232" t="s">
        <v>537</v>
      </c>
      <c r="D2" s="232" t="s">
        <v>538</v>
      </c>
      <c r="E2" s="232" t="s">
        <v>539</v>
      </c>
      <c r="F2" s="232" t="s">
        <v>540</v>
      </c>
      <c r="G2" s="232" t="s">
        <v>541</v>
      </c>
      <c r="H2" s="232" t="s">
        <v>167</v>
      </c>
      <c r="I2" s="232" t="s">
        <v>542</v>
      </c>
      <c r="J2" s="232" t="s">
        <v>543</v>
      </c>
      <c r="K2" s="232" t="s">
        <v>544</v>
      </c>
      <c r="L2" s="232" t="s">
        <v>545</v>
      </c>
    </row>
    <row r="3">
      <c r="A3" s="233" t="s">
        <v>546</v>
      </c>
      <c r="B3" s="232">
        <v>2.0</v>
      </c>
      <c r="C3" s="232">
        <v>1.0</v>
      </c>
      <c r="D3" s="232">
        <v>901010.0</v>
      </c>
      <c r="E3" s="232">
        <v>1.0</v>
      </c>
      <c r="F3" s="232" t="s">
        <v>547</v>
      </c>
      <c r="G3" s="234" t="s">
        <v>548</v>
      </c>
      <c r="H3" s="235" t="s">
        <v>549</v>
      </c>
      <c r="I3" s="234" t="s">
        <v>550</v>
      </c>
      <c r="J3" s="234" t="s">
        <v>551</v>
      </c>
      <c r="K3" s="234" t="s">
        <v>552</v>
      </c>
      <c r="L3" s="234" t="s">
        <v>145</v>
      </c>
    </row>
    <row r="4">
      <c r="A4" s="145" t="str">
        <f>'人員資料表'!E5</f>
        <v>程效賢</v>
      </c>
      <c r="B4" s="236">
        <f>if('人員資料表'!H5="女 GIRL",2,1)</f>
        <v>1</v>
      </c>
      <c r="C4" s="236">
        <v>2.0</v>
      </c>
      <c r="D4" s="145" t="str">
        <f>TEXT('人員資料表'!N5,"yyyymmdd")</f>
        <v>20020917</v>
      </c>
      <c r="E4" s="236">
        <f>if(LEN('人員資料表'!M5)=10,1,2)</f>
        <v>1</v>
      </c>
      <c r="F4" s="145" t="str">
        <f>'人員資料表'!M5</f>
        <v>F131195218</v>
      </c>
      <c r="G4" s="145" t="str">
        <f>'人員資料表'!J5</f>
        <v>0939952841</v>
      </c>
      <c r="H4" s="145" t="str">
        <f>'人員資料表'!X5</f>
        <v>E64102038@gs.ncku.edu.tw</v>
      </c>
      <c r="I4" s="145" t="str">
        <f>'人員資料表'!O5</f>
        <v>新北市永和區博愛街19巷7號2樓</v>
      </c>
      <c r="J4" s="145" t="str">
        <f>Left('人員資料表'!P5,Search("（",'人員資料表'!P5,1)-1)</f>
        <v>金愛君</v>
      </c>
      <c r="K4" s="145" t="str">
        <f>'人員資料表'!Q5</f>
        <v>0952952841</v>
      </c>
      <c r="L4" s="145"/>
    </row>
    <row r="5">
      <c r="A5" s="145" t="str">
        <f>'人員資料表'!E6</f>
        <v>宋侑達</v>
      </c>
      <c r="B5" s="236">
        <f>if('人員資料表'!H6="女 GIRL",2,1)</f>
        <v>1</v>
      </c>
      <c r="C5" s="236">
        <v>2.0</v>
      </c>
      <c r="D5" s="145" t="str">
        <f>TEXT('人員資料表'!N6,"yyyymmdd")</f>
        <v>20021201</v>
      </c>
      <c r="E5" s="236">
        <f>if(LEN('人員資料表'!M6)=10,1,2)</f>
        <v>1</v>
      </c>
      <c r="F5" s="145" t="str">
        <f>'人員資料表'!M6</f>
        <v>L125840395</v>
      </c>
      <c r="G5" s="145" t="str">
        <f>'人員資料表'!J6</f>
        <v>0966139234</v>
      </c>
      <c r="H5" s="145" t="str">
        <f>'人員資料表'!X6</f>
        <v>leo66pig@gmail.com</v>
      </c>
      <c r="I5" s="145" t="str">
        <f>'人員資料表'!O6</f>
        <v>台中市豐原區鐮村路465巷64弄16號</v>
      </c>
      <c r="J5" s="145" t="str">
        <f>Left('人員資料表'!P6,Search("（",'人員資料表'!P6,1)-1)</f>
        <v>宋坤龍</v>
      </c>
      <c r="K5" s="145" t="str">
        <f>'人員資料表'!Q6</f>
        <v>0928542036</v>
      </c>
      <c r="L5" s="145"/>
    </row>
    <row r="6">
      <c r="A6" s="145" t="str">
        <f>'人員資料表'!E7</f>
        <v>陳柏亨</v>
      </c>
      <c r="B6" s="236">
        <f>if('人員資料表'!H7="女 GIRL",2,1)</f>
        <v>1</v>
      </c>
      <c r="C6" s="236">
        <v>2.0</v>
      </c>
      <c r="D6" s="145" t="str">
        <f>TEXT('人員資料表'!N7,"yyyymmdd")</f>
        <v>20030529</v>
      </c>
      <c r="E6" s="236">
        <f>if(LEN('人員資料表'!M7)=10,1,2)</f>
        <v>1</v>
      </c>
      <c r="F6" s="145" t="str">
        <f>'人員資料表'!M7</f>
        <v>E125475393</v>
      </c>
      <c r="G6" s="145" t="str">
        <f>'人員資料表'!J7</f>
        <v>0905377012</v>
      </c>
      <c r="H6" s="145" t="str">
        <f>'人員資料表'!X7</f>
        <v>chenhenry2003@gmail.com</v>
      </c>
      <c r="I6" s="145" t="str">
        <f>'人員資料表'!O7</f>
        <v>高雄市苓雅區中正二路103號八樓之一</v>
      </c>
      <c r="J6" s="145" t="str">
        <f>Left('人員資料表'!P7,Search("（",'人員資料表'!P7,1)-1)</f>
        <v>張文瀞</v>
      </c>
      <c r="K6" s="145" t="str">
        <f>'人員資料表'!Q7</f>
        <v>0929331445</v>
      </c>
      <c r="L6" s="145"/>
    </row>
    <row r="7">
      <c r="A7" s="145" t="str">
        <f>'人員資料表'!E8</f>
        <v>張薰慈</v>
      </c>
      <c r="B7" s="236">
        <f>if('人員資料表'!H8="女 GIRL",2,1)</f>
        <v>2</v>
      </c>
      <c r="C7" s="236">
        <v>2.0</v>
      </c>
      <c r="D7" s="145" t="str">
        <f>TEXT('人員資料表'!N8,"yyyymmdd")</f>
        <v>20011020</v>
      </c>
      <c r="E7" s="236">
        <f>if(LEN('人員資料表'!M8)=10,1,2)</f>
        <v>1</v>
      </c>
      <c r="F7" s="145" t="str">
        <f>'人員資料表'!M8</f>
        <v>F230782791</v>
      </c>
      <c r="G7" s="145" t="str">
        <f>'人員資料表'!J8</f>
        <v>0976818408</v>
      </c>
      <c r="H7" s="145" t="str">
        <f>'人員資料表'!X8</f>
        <v>I94096024@gs.ncku.edu.tw</v>
      </c>
      <c r="I7" s="145" t="str">
        <f>'人員資料表'!O8</f>
        <v>新北市土城區承天路107巷14號三樓</v>
      </c>
      <c r="J7" s="145" t="str">
        <f>Left('人員資料表'!P8,Search("（",'人員資料表'!P8,1)-1)</f>
        <v>徐碧卿</v>
      </c>
      <c r="K7" s="145" t="str">
        <f>'人員資料表'!Q8</f>
        <v>0976533082</v>
      </c>
      <c r="L7" s="145"/>
    </row>
    <row r="8">
      <c r="A8" s="145" t="str">
        <f>'人員資料表'!E9</f>
        <v>陳莉臻</v>
      </c>
      <c r="B8" s="236">
        <f>if('人員資料表'!H9="女 GIRL",2,1)</f>
        <v>2</v>
      </c>
      <c r="C8" s="236">
        <v>2.0</v>
      </c>
      <c r="D8" s="145" t="str">
        <f>TEXT('人員資料表'!N9,"yyyymmdd")</f>
        <v>20040227</v>
      </c>
      <c r="E8" s="236">
        <f>if(LEN('人員資料表'!M9)=10,1,2)</f>
        <v>1</v>
      </c>
      <c r="F8" s="145" t="str">
        <f>'人員資料表'!M9</f>
        <v>O200644071</v>
      </c>
      <c r="G8" s="145" t="str">
        <f>'人員資料表'!J9</f>
        <v>0905574912</v>
      </c>
      <c r="H8" s="145" t="str">
        <f>'人員資料表'!X9</f>
        <v>lileee0801@gmail.com</v>
      </c>
      <c r="I8" s="145" t="str">
        <f>'人員資料表'!O9</f>
        <v>新竹市北區西大路681巷12號</v>
      </c>
      <c r="J8" s="145" t="str">
        <f>Left('人員資料表'!P9,Search("（",'人員資料表'!P9,1)-1)</f>
        <v>張雅惠</v>
      </c>
      <c r="K8" s="145" t="str">
        <f>'人員資料表'!Q9</f>
        <v>0922313887</v>
      </c>
      <c r="L8" s="145"/>
    </row>
    <row r="9">
      <c r="A9" s="145" t="str">
        <f>'人員資料表'!E10</f>
        <v>張仁熏</v>
      </c>
      <c r="B9" s="236">
        <f>if('人員資料表'!H10="女 GIRL",2,1)</f>
        <v>1</v>
      </c>
      <c r="C9" s="236">
        <v>2.0</v>
      </c>
      <c r="D9" s="145" t="str">
        <f>TEXT('人員資料表'!N10,"yyyymmdd")</f>
        <v>20060508</v>
      </c>
      <c r="E9" s="236">
        <f>if(LEN('人員資料表'!M10)=10,1,2)</f>
        <v>1</v>
      </c>
      <c r="F9" s="145" t="str">
        <f>'人員資料表'!M10</f>
        <v>A132077143</v>
      </c>
      <c r="G9" s="145" t="str">
        <f>'人員資料表'!J10</f>
        <v>0912683511</v>
      </c>
      <c r="H9" s="145" t="str">
        <f>'人員資料表'!X10</f>
        <v>d84136014@gs.ncku.edu.tw</v>
      </c>
      <c r="I9" s="145" t="str">
        <f>'人員資料表'!O10</f>
        <v>台北市大同區敦煌路80巷2號9樓之二</v>
      </c>
      <c r="J9" s="145" t="str">
        <f>Left('人員資料表'!P10,Search("（",'人員資料表'!P10,1)-1)</f>
        <v>蔡茵如</v>
      </c>
      <c r="K9" s="145" t="str">
        <f>'人員資料表'!Q10</f>
        <v>0921308802</v>
      </c>
      <c r="L9" s="145"/>
    </row>
    <row r="10">
      <c r="A10" s="145" t="str">
        <f>'人員資料表'!E11</f>
        <v>曾翔鈺</v>
      </c>
      <c r="B10" s="236">
        <f>if('人員資料表'!H11="女 GIRL",2,1)</f>
        <v>2</v>
      </c>
      <c r="C10" s="236">
        <v>2.0</v>
      </c>
      <c r="D10" s="145" t="str">
        <f>TEXT('人員資料表'!N11,"yyyymmdd")</f>
        <v>20010629</v>
      </c>
      <c r="E10" s="236">
        <f>if(LEN('人員資料表'!M11)=10,1,2)</f>
        <v>1</v>
      </c>
      <c r="F10" s="145" t="str">
        <f>'人員資料表'!M11</f>
        <v>A230567431</v>
      </c>
      <c r="G10" s="145" t="str">
        <f>'人員資料表'!J11</f>
        <v>0926801336</v>
      </c>
      <c r="H10" s="145" t="str">
        <f>'人員資料表'!X11</f>
        <v>mable.tseng@gmail.com</v>
      </c>
      <c r="I10" s="145" t="str">
        <f>'人員資料表'!O11</f>
        <v>臺北市文山區興隆路二段203巷80號9樓</v>
      </c>
      <c r="J10" s="145" t="str">
        <f>Left('人員資料表'!P11,Search("（",'人員資料表'!P11,1)-1)</f>
        <v>曾厚勳</v>
      </c>
      <c r="K10" s="145" t="str">
        <f>'人員資料表'!Q11</f>
        <v>0927238063</v>
      </c>
      <c r="L10" s="145"/>
    </row>
    <row r="11">
      <c r="A11" s="145" t="str">
        <f>'人員資料表'!E12</f>
        <v>李思誼</v>
      </c>
      <c r="B11" s="236">
        <f>if('人員資料表'!H12="女 GIRL",2,1)</f>
        <v>2</v>
      </c>
      <c r="C11" s="236">
        <v>2.0</v>
      </c>
      <c r="D11" s="145" t="str">
        <f>TEXT('人員資料表'!N12,"yyyymmdd")</f>
        <v>20011119</v>
      </c>
      <c r="E11" s="236">
        <f>if(LEN('人員資料表'!M12)=10,1,2)</f>
        <v>1</v>
      </c>
      <c r="F11" s="145" t="str">
        <f>'人員資料表'!M12</f>
        <v>F230379909</v>
      </c>
      <c r="G11" s="145" t="str">
        <f>'人員資料表'!J12</f>
        <v>0985204657</v>
      </c>
      <c r="H11" s="145" t="str">
        <f>'人員資料表'!X12</f>
        <v>sunny12345330@gmail.com</v>
      </c>
      <c r="I11" s="145" t="str">
        <f>'人員資料表'!O12</f>
        <v>新北市板橋區長江路二段93號3樓</v>
      </c>
      <c r="J11" s="145" t="str">
        <f>Left('人員資料表'!P12,Search("（",'人員資料表'!P12,1)-1)</f>
        <v>李昭俊</v>
      </c>
      <c r="K11" s="145" t="str">
        <f>'人員資料表'!Q12</f>
        <v>0922023106</v>
      </c>
      <c r="L11" s="145"/>
    </row>
    <row r="12">
      <c r="A12" s="145" t="str">
        <f>'人員資料表'!E13</f>
        <v>楊育銘</v>
      </c>
      <c r="B12" s="236">
        <f>if('人員資料表'!H13="女 GIRL",2,1)</f>
        <v>1</v>
      </c>
      <c r="C12" s="236">
        <v>2.0</v>
      </c>
      <c r="D12" s="145" t="str">
        <f>TEXT('人員資料表'!N13,"yyyymmdd")</f>
        <v>19990820</v>
      </c>
      <c r="E12" s="236">
        <f>if(LEN('人員資料表'!M13)=10,1,2)</f>
        <v>1</v>
      </c>
      <c r="F12" s="145" t="str">
        <f>'人員資料表'!M13</f>
        <v>A127342866</v>
      </c>
      <c r="G12" s="145" t="str">
        <f>'人員資料表'!J13</f>
        <v>0986873262</v>
      </c>
      <c r="H12" s="145" t="str">
        <f>'人員資料表'!X13</f>
        <v>ga2877536@gmail.com</v>
      </c>
      <c r="I12" s="145" t="str">
        <f>'人員資料表'!O13</f>
        <v>高雄市三民區松江街22號</v>
      </c>
      <c r="J12" s="145" t="str">
        <f>Left('人員資料表'!P13,Search("（",'人員資料表'!P13,1)-1)</f>
        <v>楊定恭</v>
      </c>
      <c r="K12" s="145" t="str">
        <f>'人員資料表'!Q13</f>
        <v>0963278285</v>
      </c>
      <c r="L12" s="145"/>
    </row>
    <row r="13">
      <c r="A13" s="145" t="str">
        <f>'人員資料表'!E14</f>
        <v>邱以昕</v>
      </c>
      <c r="B13" s="236">
        <f>if('人員資料表'!H14="女 GIRL",2,1)</f>
        <v>1</v>
      </c>
      <c r="C13" s="236">
        <v>2.0</v>
      </c>
      <c r="D13" s="145" t="str">
        <f>TEXT('人員資料表'!N14,"yyyymmdd")</f>
        <v>20070729</v>
      </c>
      <c r="E13" s="236">
        <f>if(LEN('人員資料表'!M14)=10,1,2)</f>
        <v>1</v>
      </c>
      <c r="F13" s="145" t="str">
        <f>'人員資料表'!M14</f>
        <v>A132065296</v>
      </c>
      <c r="G13" s="145" t="str">
        <f>'人員資料表'!J14</f>
        <v>0978001281</v>
      </c>
      <c r="H13" s="145" t="str">
        <f>'人員資料表'!X14</f>
        <v>Sha948887@gmail.com</v>
      </c>
      <c r="I13" s="145" t="str">
        <f>'人員資料表'!O14</f>
        <v>台北市士林區忠誠路一段112號5樓</v>
      </c>
      <c r="J13" s="145" t="str">
        <f>Left('人員資料表'!P14,Search("（",'人員資料表'!P14,1)-1)</f>
        <v>邱威凱</v>
      </c>
      <c r="K13" s="145" t="str">
        <f>'人員資料表'!Q14</f>
        <v>0972811139</v>
      </c>
      <c r="L13" s="145"/>
    </row>
    <row r="14">
      <c r="A14" s="145" t="str">
        <f>'人員資料表'!E15</f>
        <v>劉祐任</v>
      </c>
      <c r="B14" s="236">
        <f>if('人員資料表'!H15="女 GIRL",2,1)</f>
        <v>1</v>
      </c>
      <c r="C14" s="236">
        <v>2.0</v>
      </c>
      <c r="D14" s="145" t="str">
        <f>TEXT('人員資料表'!N15,"yyyymmdd")</f>
        <v>20060220</v>
      </c>
      <c r="E14" s="236">
        <f>if(LEN('人員資料表'!M15)=10,1,2)</f>
        <v>1</v>
      </c>
      <c r="F14" s="145" t="str">
        <f>'人員資料表'!M15</f>
        <v>N126883789</v>
      </c>
      <c r="G14" s="145" t="str">
        <f>'人員資料表'!J15</f>
        <v>0934212106</v>
      </c>
      <c r="H14" s="145" t="str">
        <f>'人員資料表'!X15</f>
        <v>youren0220@gmail.com</v>
      </c>
      <c r="I14" s="145" t="str">
        <f>'人員資料表'!O15</f>
        <v>彰化縣二林鎮西平里中正路65號</v>
      </c>
      <c r="J14" s="145" t="str">
        <f>Left('人員資料表'!P15,Search("（",'人員資料表'!P15,1)-1)</f>
        <v>劉玠庭</v>
      </c>
      <c r="K14" s="145" t="str">
        <f>'人員資料表'!Q15</f>
        <v>0953080665</v>
      </c>
      <c r="L14" s="145"/>
    </row>
    <row r="15">
      <c r="A15" s="145" t="str">
        <f>'人員資料表'!E16</f>
        <v>郭佳宛</v>
      </c>
      <c r="B15" s="236">
        <f>if('人員資料表'!H16="女 GIRL",2,1)</f>
        <v>2</v>
      </c>
      <c r="C15" s="236">
        <v>2.0</v>
      </c>
      <c r="D15" s="145" t="str">
        <f>TEXT('人員資料表'!N16,"yyyymmdd")</f>
        <v>20061109</v>
      </c>
      <c r="E15" s="236">
        <f>if(LEN('人員資料表'!M16)=10,1,2)</f>
        <v>1</v>
      </c>
      <c r="F15" s="145" t="str">
        <f>'人員資料表'!M16</f>
        <v>N226495432</v>
      </c>
      <c r="G15" s="145" t="str">
        <f>'人員資料表'!J16</f>
        <v>0906871119</v>
      </c>
      <c r="H15" s="145" t="str">
        <f>'人員資料表'!X16</f>
        <v>crazie1109@gmail.com</v>
      </c>
      <c r="I15" s="145" t="str">
        <f>'人員資料表'!O16</f>
        <v>彰化縣鹿港鎮鹿東里2鄰鹿東路244號</v>
      </c>
      <c r="J15" s="145" t="str">
        <f>Left('人員資料表'!P16,Search("（",'人員資料表'!P16,1)-1)</f>
        <v>劉婉慧</v>
      </c>
      <c r="K15" s="145" t="str">
        <f>'人員資料表'!Q16</f>
        <v>0918879151</v>
      </c>
      <c r="L15" s="145"/>
    </row>
    <row r="16">
      <c r="A16" s="145" t="str">
        <f>'人員資料表'!E17</f>
        <v>蔡岳承</v>
      </c>
      <c r="B16" s="236">
        <f>if('人員資料表'!H17="女 GIRL",2,1)</f>
        <v>1</v>
      </c>
      <c r="C16" s="236">
        <v>2.0</v>
      </c>
      <c r="D16" s="145" t="str">
        <f>TEXT('人員資料表'!N17,"yyyymmdd")</f>
        <v>20020527</v>
      </c>
      <c r="E16" s="236">
        <f>if(LEN('人員資料表'!M17)=10,1,2)</f>
        <v>1</v>
      </c>
      <c r="F16" s="145" t="str">
        <f>'人員資料表'!M17</f>
        <v>B123726590</v>
      </c>
      <c r="G16" s="145" t="str">
        <f>'人員資料表'!J17</f>
        <v>0909323691</v>
      </c>
      <c r="H16" s="145" t="str">
        <f>'人員資料表'!X17</f>
        <v>voyagueyct@gmail.com</v>
      </c>
      <c r="I16" s="145" t="str">
        <f>'人員資料表'!O17</f>
        <v>臺中市南屯區向心里1鄰南屯路二段269號</v>
      </c>
      <c r="J16" s="145" t="str">
        <f>Left('人員資料表'!P17,Search("（",'人員資料表'!P17,1)-1)</f>
        <v>蔡至強</v>
      </c>
      <c r="K16" s="145" t="str">
        <f>'人員資料表'!Q17</f>
        <v>0923309046</v>
      </c>
      <c r="L16" s="145"/>
    </row>
    <row r="17">
      <c r="A17" s="145" t="str">
        <f>'人員資料表'!E18</f>
        <v>張婷萱</v>
      </c>
      <c r="B17" s="236">
        <f>if('人員資料表'!H18="女 GIRL",2,1)</f>
        <v>2</v>
      </c>
      <c r="C17" s="236">
        <v>2.0</v>
      </c>
      <c r="D17" s="145" t="str">
        <f>TEXT('人員資料表'!N18,"yyyymmdd")</f>
        <v>20051017</v>
      </c>
      <c r="E17" s="236">
        <f>if(LEN('人員資料表'!M18)=10,1,2)</f>
        <v>1</v>
      </c>
      <c r="F17" s="145" t="str">
        <f>'人員資料表'!M18</f>
        <v>S225265256</v>
      </c>
      <c r="G17" s="145" t="str">
        <f>'人員資料表'!J18</f>
        <v>0918023813</v>
      </c>
      <c r="H17" s="145" t="str">
        <f>'人員資料表'!X18</f>
        <v>zhangtingxuan017@gmail.com</v>
      </c>
      <c r="I17" s="145" t="str">
        <f>'人員資料表'!O18</f>
        <v>高雄市桃源區勤和里南橫公路三段33號</v>
      </c>
      <c r="J17" s="145" t="str">
        <f>Left('人員資料表'!P18,Search("（",'人員資料表'!P18,1)-1)</f>
        <v>黃范竹芳</v>
      </c>
      <c r="K17" s="145" t="str">
        <f>'人員資料表'!Q18</f>
        <v>0976525634</v>
      </c>
      <c r="L17" s="145"/>
    </row>
    <row r="18">
      <c r="A18" s="145" t="str">
        <f>'人員資料表'!E19</f>
        <v>傅琨鋮</v>
      </c>
      <c r="B18" s="236">
        <f>if('人員資料表'!H19="女 GIRL",2,1)</f>
        <v>1</v>
      </c>
      <c r="C18" s="236">
        <v>2.0</v>
      </c>
      <c r="D18" s="145" t="str">
        <f>TEXT('人員資料表'!N19,"yyyymmdd")</f>
        <v>20070315</v>
      </c>
      <c r="E18" s="236">
        <f>if(LEN('人員資料表'!M19)=10,1,2)</f>
        <v>1</v>
      </c>
      <c r="F18" s="145" t="str">
        <f>'人員資料表'!M19</f>
        <v>E126264303</v>
      </c>
      <c r="G18" s="145" t="str">
        <f>'人員資料表'!J19</f>
        <v>0968716529</v>
      </c>
      <c r="H18" s="145" t="str">
        <f>'人員資料表'!X19</f>
        <v>kunchengfu24@gmail.com </v>
      </c>
      <c r="I18" s="145" t="str">
        <f>'人員資料表'!O19</f>
        <v>新竹縣竹北市復興三路二段106號十樓</v>
      </c>
      <c r="J18" s="145" t="str">
        <f>Left('人員資料表'!P19,Search("（",'人員資料表'!P19,1)-1)</f>
        <v>張嘉玲</v>
      </c>
      <c r="K18" s="145" t="str">
        <f>'人員資料表'!Q19</f>
        <v>0939042620</v>
      </c>
      <c r="L18" s="145"/>
    </row>
    <row r="19">
      <c r="A19" s="145" t="str">
        <f>'人員資料表'!E20</f>
        <v>吳琇如</v>
      </c>
      <c r="B19" s="236">
        <f>if('人員資料表'!H20="女 GIRL",2,1)</f>
        <v>2</v>
      </c>
      <c r="C19" s="236">
        <v>2.0</v>
      </c>
      <c r="D19" s="145" t="str">
        <f>TEXT('人員資料表'!N20,"yyyymmdd")</f>
        <v>20040909</v>
      </c>
      <c r="E19" s="236">
        <f>if(LEN('人員資料表'!M20)=10,1,2)</f>
        <v>1</v>
      </c>
      <c r="F19" s="145" t="str">
        <f>'人員資料表'!M20</f>
        <v>A231279243</v>
      </c>
      <c r="G19" s="145" t="str">
        <f>'人員資料表'!J20</f>
        <v>0983509656</v>
      </c>
      <c r="H19" s="145" t="str">
        <f>'人員資料表'!X20</f>
        <v>E24121026@gs.ncku.edu.tw</v>
      </c>
      <c r="I19" s="145" t="str">
        <f>'人員資料表'!O20</f>
        <v>台北市北投區志遠三路45號三樓</v>
      </c>
      <c r="J19" s="145" t="str">
        <f>Left('人員資料表'!P20,Search("（",'人員資料表'!P20,1)-1)</f>
        <v>黃燕嬌</v>
      </c>
      <c r="K19" s="145" t="str">
        <f>'人員資料表'!Q20</f>
        <v>0939065504</v>
      </c>
      <c r="L19" s="145"/>
    </row>
    <row r="20">
      <c r="A20" s="145" t="str">
        <f>'人員資料表'!E21</f>
        <v>邱于馨</v>
      </c>
      <c r="B20" s="236">
        <f>if('人員資料表'!H21="女 GIRL",2,1)</f>
        <v>2</v>
      </c>
      <c r="C20" s="236">
        <v>2.0</v>
      </c>
      <c r="D20" s="145" t="str">
        <f>TEXT('人員資料表'!N21,"yyyymmdd")</f>
        <v>20050601</v>
      </c>
      <c r="E20" s="236">
        <f>if(LEN('人員資料表'!M21)=10,1,2)</f>
        <v>1</v>
      </c>
      <c r="F20" s="145" t="str">
        <f>'人員資料表'!M21</f>
        <v>E225614669</v>
      </c>
      <c r="G20" s="145" t="str">
        <f>'人員資料表'!J21</f>
        <v>0905274951</v>
      </c>
      <c r="H20" s="145" t="str">
        <f>'人員資料表'!X21</f>
        <v>Mina940601@gmail.com</v>
      </c>
      <c r="I20" s="145" t="str">
        <f>'人員資料表'!O21</f>
        <v>高雄市三民區河北一路48號</v>
      </c>
      <c r="J20" s="145" t="str">
        <f>Left('人員資料表'!P21,Search("（",'人員資料表'!P21,1)-1)</f>
        <v>邱逸民</v>
      </c>
      <c r="K20" s="145" t="str">
        <f>'人員資料表'!Q21</f>
        <v>0933003294</v>
      </c>
      <c r="L20" s="145"/>
    </row>
    <row r="21" ht="15.75" customHeight="1">
      <c r="A21" s="145"/>
      <c r="B21" s="236"/>
      <c r="C21" s="236"/>
      <c r="D21" s="145"/>
      <c r="E21" s="236"/>
      <c r="F21" s="145"/>
      <c r="G21" s="237"/>
      <c r="H21" s="145"/>
      <c r="I21" s="145"/>
      <c r="J21" s="145"/>
      <c r="K21" s="237"/>
      <c r="L21" s="145"/>
    </row>
    <row r="22" ht="15.75" customHeight="1">
      <c r="A22" s="145"/>
      <c r="B22" s="236"/>
      <c r="C22" s="236"/>
      <c r="D22" s="145"/>
      <c r="E22" s="236"/>
      <c r="F22" s="145"/>
      <c r="G22" s="145"/>
      <c r="H22" s="145"/>
      <c r="I22" s="145"/>
      <c r="J22" s="145"/>
      <c r="K22" s="145"/>
      <c r="L22" s="145"/>
    </row>
    <row r="23" ht="15.75" customHeight="1">
      <c r="A23" s="145"/>
      <c r="B23" s="236"/>
      <c r="C23" s="236"/>
      <c r="D23" s="145"/>
      <c r="E23" s="236"/>
      <c r="F23" s="145"/>
      <c r="G23" s="145"/>
      <c r="H23" s="145"/>
      <c r="I23" s="145"/>
      <c r="J23" s="145"/>
      <c r="K23" s="145"/>
      <c r="L23" s="145"/>
    </row>
    <row r="24" ht="15.75" customHeight="1">
      <c r="A24" s="237"/>
      <c r="B24" s="236"/>
      <c r="C24" s="236"/>
      <c r="D24" s="145"/>
      <c r="E24" s="236"/>
      <c r="F24" s="145"/>
      <c r="G24" s="145"/>
      <c r="H24" s="145"/>
      <c r="I24" s="145"/>
      <c r="J24" s="145"/>
      <c r="K24" s="145"/>
      <c r="L24" s="145"/>
    </row>
    <row r="25" ht="15.75" customHeight="1">
      <c r="A25" s="145"/>
      <c r="B25" s="236"/>
      <c r="C25" s="236"/>
      <c r="D25" s="145"/>
      <c r="E25" s="236"/>
      <c r="F25" s="145"/>
      <c r="G25" s="145"/>
      <c r="H25" s="145"/>
      <c r="I25" s="145"/>
      <c r="J25" s="145"/>
      <c r="K25" s="145"/>
      <c r="L25" s="145"/>
    </row>
    <row r="26" ht="15.75" customHeight="1">
      <c r="A26" s="145"/>
      <c r="B26" s="236"/>
      <c r="C26" s="236"/>
      <c r="D26" s="145"/>
      <c r="E26" s="236"/>
      <c r="F26" s="145"/>
      <c r="G26" s="145"/>
      <c r="H26" s="145"/>
      <c r="I26" s="145"/>
      <c r="J26" s="145"/>
      <c r="K26" s="145"/>
      <c r="L26" s="145"/>
    </row>
    <row r="27" ht="15.75" customHeight="1">
      <c r="A27" s="145"/>
      <c r="B27" s="236"/>
      <c r="C27" s="236"/>
      <c r="D27" s="145"/>
      <c r="E27" s="236"/>
      <c r="F27" s="145"/>
      <c r="G27" s="145"/>
      <c r="H27" s="145"/>
      <c r="I27" s="145"/>
      <c r="J27" s="145"/>
      <c r="K27" s="145"/>
      <c r="L27" s="145"/>
    </row>
    <row r="28" ht="15.75" customHeight="1">
      <c r="A28" s="145"/>
      <c r="B28" s="236"/>
      <c r="C28" s="236"/>
      <c r="D28" s="145"/>
      <c r="E28" s="236"/>
      <c r="F28" s="145"/>
      <c r="G28" s="145"/>
      <c r="H28" s="145"/>
      <c r="I28" s="145"/>
      <c r="J28" s="145"/>
      <c r="K28" s="145"/>
      <c r="L28" s="145"/>
    </row>
    <row r="29" ht="15.75" customHeight="1">
      <c r="A29" s="145" t="str">
        <f>'人員資料表'!E34</f>
        <v/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hyperlinks>
    <hyperlink r:id="rId1" ref="H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hidden="1" min="1" max="1" width="4.56"/>
    <col customWidth="1" min="2" max="2" width="26.67"/>
    <col customWidth="1" min="3" max="3" width="10.78"/>
    <col customWidth="1" min="4" max="4" width="29.33"/>
    <col customWidth="1" min="5" max="5" width="3.67"/>
    <col customWidth="1" min="6" max="6" width="11.22"/>
    <col customWidth="1" min="7" max="7" width="16.11"/>
    <col customWidth="1" min="8" max="8" width="3.89"/>
    <col customWidth="1" hidden="1" min="13" max="13" width="4.44"/>
  </cols>
  <sheetData>
    <row r="1" ht="15.75" customHeight="1">
      <c r="A1" s="238"/>
      <c r="B1" s="239"/>
      <c r="C1" s="240"/>
      <c r="D1" s="240"/>
      <c r="E1" s="241"/>
      <c r="F1" s="240"/>
      <c r="G1" s="240"/>
      <c r="H1" s="240"/>
      <c r="I1" s="240"/>
      <c r="J1" s="240"/>
      <c r="K1" s="240"/>
      <c r="L1" s="240"/>
      <c r="M1" s="242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</row>
    <row r="2" ht="31.5" customHeight="1">
      <c r="A2" s="244"/>
      <c r="B2" s="245" t="s">
        <v>553</v>
      </c>
      <c r="C2" s="246"/>
      <c r="D2" s="247"/>
      <c r="E2" s="248"/>
      <c r="F2" s="249" t="s">
        <v>554</v>
      </c>
      <c r="G2" s="247"/>
      <c r="H2" s="247"/>
      <c r="I2" s="247"/>
      <c r="J2" s="250" t="s">
        <v>555</v>
      </c>
      <c r="K2" s="251"/>
      <c r="L2" s="252"/>
      <c r="M2" s="253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ht="15.75" customHeight="1">
      <c r="A3" s="254"/>
      <c r="B3" s="255" t="s">
        <v>556</v>
      </c>
      <c r="C3" s="256" t="s">
        <v>557</v>
      </c>
      <c r="D3" s="257"/>
      <c r="E3" s="258"/>
      <c r="F3" s="259" t="s">
        <v>66</v>
      </c>
      <c r="G3" s="260" t="s">
        <v>558</v>
      </c>
      <c r="H3" s="261"/>
      <c r="I3" s="257"/>
      <c r="J3" s="259" t="s">
        <v>559</v>
      </c>
      <c r="K3" s="260">
        <v>3.0</v>
      </c>
      <c r="L3" s="262"/>
      <c r="M3" s="263"/>
    </row>
    <row r="4" ht="17.25" customHeight="1">
      <c r="A4" s="254"/>
      <c r="B4" s="264" t="s">
        <v>560</v>
      </c>
      <c r="C4" s="265" t="s">
        <v>561</v>
      </c>
      <c r="D4" s="266" t="s">
        <v>562</v>
      </c>
      <c r="E4" s="267" t="str">
        <f>IF(G4&gt;G5,"O","X")</f>
        <v>O</v>
      </c>
      <c r="F4" s="268" t="s">
        <v>563</v>
      </c>
      <c r="G4" s="269">
        <v>1325.0</v>
      </c>
      <c r="H4" s="270"/>
      <c r="I4" s="271" t="s">
        <v>564</v>
      </c>
      <c r="J4" s="268" t="s">
        <v>565</v>
      </c>
      <c r="K4" s="269">
        <v>17.0</v>
      </c>
      <c r="L4" s="272"/>
      <c r="M4" s="263"/>
    </row>
    <row r="5" ht="15.75" customHeight="1">
      <c r="A5" s="254"/>
      <c r="B5" s="273" t="s">
        <v>566</v>
      </c>
      <c r="C5" s="274" t="s">
        <v>392</v>
      </c>
      <c r="D5" s="251"/>
      <c r="E5" s="251"/>
      <c r="F5" s="251"/>
      <c r="G5" s="251"/>
      <c r="H5" s="251"/>
      <c r="I5" s="252"/>
      <c r="J5" s="275" t="s">
        <v>567</v>
      </c>
      <c r="K5" s="276" t="s">
        <v>568</v>
      </c>
      <c r="L5" s="277"/>
      <c r="M5" s="263"/>
    </row>
    <row r="6" ht="15.75" customHeight="1">
      <c r="A6" s="254"/>
      <c r="B6" s="278"/>
      <c r="C6" s="279"/>
      <c r="D6" s="280"/>
      <c r="E6" s="281">
        <f>IF(G4&gt;G6,1,0)</f>
        <v>0</v>
      </c>
      <c r="F6" s="279"/>
      <c r="G6" s="282">
        <v>2600.0</v>
      </c>
      <c r="H6" s="282" t="b">
        <f>IF(G4&gt;G6,1)</f>
        <v>0</v>
      </c>
      <c r="I6" s="279"/>
      <c r="J6" s="283"/>
      <c r="K6" s="283"/>
      <c r="L6" s="283"/>
      <c r="M6" s="263"/>
    </row>
    <row r="7" ht="16.5" customHeight="1">
      <c r="A7" s="254"/>
      <c r="B7" s="284" t="s">
        <v>569</v>
      </c>
      <c r="C7" s="285" t="s">
        <v>570</v>
      </c>
      <c r="D7" s="286" t="s">
        <v>571</v>
      </c>
      <c r="E7" s="287"/>
      <c r="F7" s="288" t="s">
        <v>572</v>
      </c>
      <c r="G7" s="284" t="s">
        <v>573</v>
      </c>
      <c r="H7" s="285"/>
      <c r="I7" s="289" t="s">
        <v>572</v>
      </c>
      <c r="J7" s="290" t="s">
        <v>574</v>
      </c>
      <c r="K7" s="86"/>
      <c r="L7" s="87"/>
      <c r="M7" s="263"/>
    </row>
    <row r="8" ht="33.0" customHeight="1">
      <c r="A8" s="254"/>
      <c r="B8" s="291" t="s">
        <v>575</v>
      </c>
      <c r="C8" s="292" t="s">
        <v>576</v>
      </c>
      <c r="D8" s="293" t="s">
        <v>577</v>
      </c>
      <c r="E8" s="294">
        <f>(($K$3/2)*$K$4)/4*4</f>
        <v>25.5</v>
      </c>
      <c r="F8" s="295">
        <v>16.0</v>
      </c>
      <c r="G8" s="296" t="s">
        <v>578</v>
      </c>
      <c r="H8" s="294">
        <f>K3*K4/8</f>
        <v>6.375</v>
      </c>
      <c r="I8" s="297">
        <v>6.0</v>
      </c>
      <c r="J8" s="298"/>
      <c r="L8" s="57"/>
      <c r="M8" s="263"/>
    </row>
    <row r="9" ht="37.5" customHeight="1">
      <c r="A9" s="254"/>
      <c r="B9" s="299" t="s">
        <v>579</v>
      </c>
      <c r="C9" s="292" t="s">
        <v>580</v>
      </c>
      <c r="D9" s="293" t="s">
        <v>581</v>
      </c>
      <c r="E9" s="294">
        <f>($K$3*$K$4/2)/4*3</f>
        <v>19.125</v>
      </c>
      <c r="F9" s="295">
        <v>24.0</v>
      </c>
      <c r="G9" s="296" t="s">
        <v>582</v>
      </c>
      <c r="H9" s="294">
        <f>K3*K4/8</f>
        <v>6.375</v>
      </c>
      <c r="I9" s="297">
        <v>4.0</v>
      </c>
      <c r="J9" s="298"/>
      <c r="L9" s="57"/>
      <c r="M9" s="263"/>
    </row>
    <row r="10" ht="35.25" customHeight="1">
      <c r="A10" s="254"/>
      <c r="B10" s="300" t="s">
        <v>583</v>
      </c>
      <c r="C10" s="292" t="s">
        <v>584</v>
      </c>
      <c r="D10" s="293" t="s">
        <v>585</v>
      </c>
      <c r="E10" s="294">
        <f>($K$3/2*$K$4)/8*2</f>
        <v>6.375</v>
      </c>
      <c r="F10" s="295">
        <v>16.0</v>
      </c>
      <c r="G10" s="296" t="s">
        <v>586</v>
      </c>
      <c r="H10" s="294">
        <f>(K3/2)*K4/4</f>
        <v>6.375</v>
      </c>
      <c r="I10" s="297">
        <v>2.0</v>
      </c>
      <c r="J10" s="298"/>
      <c r="L10" s="57"/>
      <c r="M10" s="263"/>
    </row>
    <row r="11" ht="18.75" customHeight="1">
      <c r="A11" s="254"/>
      <c r="B11" s="299" t="s">
        <v>587</v>
      </c>
      <c r="C11" s="292" t="s">
        <v>588</v>
      </c>
      <c r="D11" s="293" t="s">
        <v>589</v>
      </c>
      <c r="E11" s="294">
        <f>($K$3/2*$K$4)/8*3</f>
        <v>9.5625</v>
      </c>
      <c r="F11" s="295">
        <v>16.0</v>
      </c>
      <c r="G11" s="296" t="s">
        <v>590</v>
      </c>
      <c r="H11" s="294">
        <f>(K3/3)*K4</f>
        <v>17</v>
      </c>
      <c r="I11" s="297">
        <v>8.0</v>
      </c>
      <c r="J11" s="298"/>
      <c r="L11" s="57"/>
      <c r="M11" s="263"/>
    </row>
    <row r="12" ht="19.5" customHeight="1">
      <c r="A12" s="254"/>
      <c r="B12" s="299" t="s">
        <v>591</v>
      </c>
      <c r="C12" s="292" t="s">
        <v>592</v>
      </c>
      <c r="D12" s="293" t="s">
        <v>593</v>
      </c>
      <c r="E12" s="294">
        <f>($K$3*$K$4)/4*1</f>
        <v>12.75</v>
      </c>
      <c r="F12" s="295">
        <v>20.0</v>
      </c>
      <c r="G12" s="296" t="s">
        <v>594</v>
      </c>
      <c r="H12" s="294">
        <f>H10/2</f>
        <v>3.1875</v>
      </c>
      <c r="I12" s="297">
        <v>12.0</v>
      </c>
      <c r="J12" s="298"/>
      <c r="L12" s="57"/>
      <c r="M12" s="263"/>
    </row>
    <row r="13" ht="20.25" customHeight="1">
      <c r="A13" s="254"/>
      <c r="B13" s="299" t="s">
        <v>595</v>
      </c>
      <c r="C13" s="292" t="s">
        <v>596</v>
      </c>
      <c r="D13" s="293" t="s">
        <v>597</v>
      </c>
      <c r="E13" s="294">
        <f>($K$3/2*$K$4)/4*2</f>
        <v>12.75</v>
      </c>
      <c r="F13" s="295">
        <v>12.0</v>
      </c>
      <c r="G13" s="296" t="s">
        <v>598</v>
      </c>
      <c r="H13" s="294">
        <f>H11/3</f>
        <v>5.666666667</v>
      </c>
      <c r="I13" s="297">
        <v>8.0</v>
      </c>
      <c r="J13" s="298"/>
      <c r="L13" s="57"/>
      <c r="M13" s="263"/>
    </row>
    <row r="14" ht="33.75" customHeight="1">
      <c r="A14" s="254"/>
      <c r="B14" s="300" t="s">
        <v>599</v>
      </c>
      <c r="C14" s="292" t="s">
        <v>600</v>
      </c>
      <c r="D14" s="293" t="s">
        <v>601</v>
      </c>
      <c r="E14" s="294">
        <f>($K$3*$K$4)*E6</f>
        <v>0</v>
      </c>
      <c r="F14" s="295">
        <v>0.0</v>
      </c>
      <c r="G14" s="296" t="s">
        <v>602</v>
      </c>
      <c r="H14" s="294">
        <f t="shared" ref="H14:H15" si="1">K3/3</f>
        <v>1</v>
      </c>
      <c r="I14" s="297">
        <v>16.0</v>
      </c>
      <c r="J14" s="298"/>
      <c r="L14" s="57"/>
      <c r="M14" s="263"/>
    </row>
    <row r="15" ht="18.75" customHeight="1">
      <c r="A15" s="254"/>
      <c r="B15" s="299" t="s">
        <v>603</v>
      </c>
      <c r="C15" s="292" t="s">
        <v>604</v>
      </c>
      <c r="D15" s="293" t="s">
        <v>605</v>
      </c>
      <c r="E15" s="294">
        <f>($K$3/2*$K$4)/8*6*E6</f>
        <v>0</v>
      </c>
      <c r="F15" s="295">
        <v>0.0</v>
      </c>
      <c r="G15" s="296" t="s">
        <v>606</v>
      </c>
      <c r="H15" s="294">
        <f t="shared" si="1"/>
        <v>5.666666667</v>
      </c>
      <c r="I15" s="297">
        <v>2.0</v>
      </c>
      <c r="J15" s="298"/>
      <c r="L15" s="57"/>
      <c r="M15" s="263"/>
    </row>
    <row r="16" ht="24.0" customHeight="1">
      <c r="A16" s="254"/>
      <c r="B16" s="300" t="s">
        <v>607</v>
      </c>
      <c r="C16" s="292" t="s">
        <v>608</v>
      </c>
      <c r="D16" s="301" t="s">
        <v>609</v>
      </c>
      <c r="E16" s="294">
        <f>($K$3/2*1*$K$4/8)*8*(3)*E6</f>
        <v>0</v>
      </c>
      <c r="F16" s="295">
        <v>0.0</v>
      </c>
      <c r="G16" s="302" t="s">
        <v>610</v>
      </c>
      <c r="H16" s="294">
        <f t="shared" ref="H16:H17" si="2">E19*2+E17*2</f>
        <v>4.25</v>
      </c>
      <c r="I16" s="297">
        <v>2.0</v>
      </c>
      <c r="J16" s="298"/>
      <c r="L16" s="57"/>
      <c r="M16" s="263"/>
    </row>
    <row r="17" ht="43.5" customHeight="1">
      <c r="A17" s="254"/>
      <c r="B17" s="303" t="s">
        <v>611</v>
      </c>
      <c r="C17" s="304" t="s">
        <v>612</v>
      </c>
      <c r="D17" s="305"/>
      <c r="E17" s="306">
        <f>($K$3/3+1)*E6</f>
        <v>0</v>
      </c>
      <c r="F17" s="307">
        <v>0.0</v>
      </c>
      <c r="G17" s="296" t="s">
        <v>613</v>
      </c>
      <c r="H17" s="294">
        <f t="shared" si="2"/>
        <v>0</v>
      </c>
      <c r="I17" s="297">
        <v>4.0</v>
      </c>
      <c r="J17" s="298"/>
      <c r="L17" s="57"/>
      <c r="M17" s="263"/>
    </row>
    <row r="18" ht="17.25" customHeight="1">
      <c r="A18" s="254"/>
      <c r="B18" s="308"/>
      <c r="C18" s="309"/>
      <c r="D18" s="309"/>
      <c r="E18" s="309"/>
      <c r="F18" s="310"/>
      <c r="G18" s="296" t="s">
        <v>614</v>
      </c>
      <c r="H18" s="294">
        <f>K3*K4/5</f>
        <v>10.2</v>
      </c>
      <c r="I18" s="297">
        <v>10.0</v>
      </c>
      <c r="J18" s="298"/>
      <c r="L18" s="57"/>
      <c r="M18" s="263"/>
    </row>
    <row r="19" ht="71.25" customHeight="1">
      <c r="A19" s="254"/>
      <c r="B19" s="311" t="s">
        <v>615</v>
      </c>
      <c r="C19" s="312" t="s">
        <v>616</v>
      </c>
      <c r="D19" s="313" t="s">
        <v>617</v>
      </c>
      <c r="E19" s="314">
        <f>($K$3/3*$K$4/8)</f>
        <v>2.125</v>
      </c>
      <c r="F19" s="315">
        <v>4.0</v>
      </c>
      <c r="G19" s="296" t="s">
        <v>618</v>
      </c>
      <c r="H19" s="294">
        <f>E17/3+E19/2</f>
        <v>1.0625</v>
      </c>
      <c r="I19" s="316">
        <v>46055.0</v>
      </c>
      <c r="J19" s="298"/>
      <c r="L19" s="57"/>
      <c r="M19" s="263"/>
    </row>
    <row r="20" ht="18.75" customHeight="1">
      <c r="A20" s="254"/>
      <c r="B20" s="284" t="s">
        <v>619</v>
      </c>
      <c r="C20" s="285"/>
      <c r="D20" s="317" t="s">
        <v>571</v>
      </c>
      <c r="E20" s="318"/>
      <c r="F20" s="288" t="s">
        <v>572</v>
      </c>
      <c r="G20" s="296" t="s">
        <v>620</v>
      </c>
      <c r="H20" s="294">
        <v>1.0</v>
      </c>
      <c r="I20" s="297">
        <v>0.0</v>
      </c>
      <c r="J20" s="298"/>
      <c r="L20" s="57"/>
      <c r="M20" s="263"/>
    </row>
    <row r="21" ht="33.75" customHeight="1">
      <c r="A21" s="254"/>
      <c r="B21" s="302" t="s">
        <v>621</v>
      </c>
      <c r="C21" s="319" t="s">
        <v>622</v>
      </c>
      <c r="D21" s="320" t="s">
        <v>623</v>
      </c>
      <c r="E21" s="321">
        <v>1.0</v>
      </c>
      <c r="F21" s="295">
        <v>1.0</v>
      </c>
      <c r="G21" s="296" t="s">
        <v>624</v>
      </c>
      <c r="H21" s="294">
        <v>1.0</v>
      </c>
      <c r="I21" s="297">
        <v>1.0</v>
      </c>
      <c r="J21" s="298"/>
      <c r="L21" s="57"/>
      <c r="M21" s="263"/>
    </row>
    <row r="22" ht="15.75" customHeight="1">
      <c r="A22" s="254"/>
      <c r="B22" s="302" t="s">
        <v>625</v>
      </c>
      <c r="C22" s="319" t="s">
        <v>622</v>
      </c>
      <c r="D22" s="320" t="s">
        <v>626</v>
      </c>
      <c r="E22" s="321">
        <v>1.0</v>
      </c>
      <c r="F22" s="295">
        <v>1.0</v>
      </c>
      <c r="G22" s="322" t="s">
        <v>627</v>
      </c>
      <c r="H22" s="314">
        <v>1.0</v>
      </c>
      <c r="I22" s="323">
        <v>1.0</v>
      </c>
      <c r="J22" s="298"/>
      <c r="L22" s="57"/>
      <c r="M22" s="263"/>
    </row>
    <row r="23" ht="15.75" customHeight="1">
      <c r="A23" s="254"/>
      <c r="B23" s="296" t="s">
        <v>628</v>
      </c>
      <c r="C23" s="324" t="s">
        <v>622</v>
      </c>
      <c r="D23" s="325" t="s">
        <v>629</v>
      </c>
      <c r="E23" s="321">
        <v>1.0</v>
      </c>
      <c r="F23" s="295">
        <v>1.0</v>
      </c>
      <c r="G23" s="326" t="s">
        <v>630</v>
      </c>
      <c r="H23" s="327"/>
      <c r="I23" s="327"/>
      <c r="J23" s="328"/>
      <c r="K23" s="327"/>
      <c r="L23" s="329"/>
      <c r="M23" s="263"/>
    </row>
    <row r="24" ht="15.75" customHeight="1">
      <c r="A24" s="254"/>
      <c r="B24" s="296" t="s">
        <v>631</v>
      </c>
      <c r="C24" s="324" t="s">
        <v>622</v>
      </c>
      <c r="D24" s="325" t="s">
        <v>632</v>
      </c>
      <c r="E24" s="321">
        <v>1.0</v>
      </c>
      <c r="F24" s="295">
        <v>1.0</v>
      </c>
      <c r="G24" s="330"/>
      <c r="J24" s="298"/>
      <c r="L24" s="57"/>
      <c r="M24" s="263"/>
    </row>
    <row r="25" ht="23.25" customHeight="1">
      <c r="A25" s="254"/>
      <c r="B25" s="331" t="s">
        <v>633</v>
      </c>
      <c r="C25" s="332" t="s">
        <v>622</v>
      </c>
      <c r="D25" s="313" t="s">
        <v>634</v>
      </c>
      <c r="E25" s="333">
        <v>1.0</v>
      </c>
      <c r="F25" s="315">
        <v>1.0</v>
      </c>
      <c r="G25" s="334"/>
      <c r="H25" s="335"/>
      <c r="I25" s="335"/>
      <c r="J25" s="336"/>
      <c r="K25" s="335"/>
      <c r="L25" s="126"/>
      <c r="M25" s="263"/>
    </row>
    <row r="26" ht="15.75" customHeight="1">
      <c r="A26" s="263"/>
      <c r="B26" s="337"/>
      <c r="C26" s="263"/>
      <c r="D26" s="263"/>
      <c r="E26" s="338"/>
      <c r="F26" s="263"/>
      <c r="G26" s="263"/>
      <c r="H26" s="263"/>
      <c r="I26" s="263"/>
      <c r="J26" s="263"/>
      <c r="K26" s="263"/>
      <c r="L26" s="263"/>
      <c r="M26" s="263"/>
    </row>
    <row r="27" ht="15.75" customHeight="1">
      <c r="A27" s="263"/>
      <c r="B27" s="337"/>
      <c r="C27" s="263"/>
      <c r="D27" s="263"/>
      <c r="E27" s="338"/>
      <c r="F27" s="263"/>
      <c r="G27" s="263"/>
      <c r="H27" s="263"/>
      <c r="I27" s="263"/>
      <c r="J27" s="263"/>
      <c r="K27" s="263"/>
      <c r="L27" s="263"/>
      <c r="M27" s="263"/>
    </row>
    <row r="28" ht="15.75" customHeight="1">
      <c r="B28" s="339"/>
    </row>
    <row r="29" ht="15.75" customHeight="1">
      <c r="B29" s="339"/>
    </row>
    <row r="30" ht="15.75" customHeight="1">
      <c r="B30" s="339"/>
    </row>
    <row r="31" ht="15.75" customHeight="1">
      <c r="B31" s="339"/>
    </row>
    <row r="32" ht="15.75" customHeight="1">
      <c r="B32" s="339"/>
    </row>
    <row r="33" ht="15.75" customHeight="1">
      <c r="B33" s="339"/>
    </row>
    <row r="34" ht="15.75" customHeight="1">
      <c r="B34" s="339"/>
    </row>
    <row r="35" ht="15.75" customHeight="1">
      <c r="B35" s="339"/>
    </row>
    <row r="36" ht="15.75" customHeight="1">
      <c r="B36" s="339"/>
    </row>
    <row r="37" ht="15.75" customHeight="1">
      <c r="B37" s="339"/>
    </row>
    <row r="38" ht="15.75" customHeight="1">
      <c r="B38" s="339"/>
    </row>
    <row r="39" ht="15.75" customHeight="1">
      <c r="B39" s="339"/>
    </row>
    <row r="40" ht="15.75" customHeight="1">
      <c r="B40" s="339"/>
    </row>
    <row r="41" ht="15.75" customHeight="1">
      <c r="B41" s="339"/>
    </row>
    <row r="42" ht="15.75" customHeight="1">
      <c r="B42" s="339"/>
    </row>
    <row r="43" ht="15.75" customHeight="1">
      <c r="B43" s="339"/>
    </row>
    <row r="44" ht="15.75" customHeight="1">
      <c r="B44" s="339"/>
    </row>
    <row r="45" ht="15.75" customHeight="1">
      <c r="B45" s="339"/>
    </row>
    <row r="46" ht="15.75" customHeight="1">
      <c r="B46" s="339"/>
    </row>
    <row r="47" ht="15.75" customHeight="1">
      <c r="B47" s="339"/>
    </row>
    <row r="48" ht="15.75" customHeight="1">
      <c r="B48" s="339"/>
    </row>
    <row r="49" ht="15.75" customHeight="1">
      <c r="B49" s="339"/>
    </row>
    <row r="50" ht="15.75" customHeight="1">
      <c r="B50" s="339"/>
    </row>
    <row r="51" ht="15.75" customHeight="1">
      <c r="B51" s="339"/>
    </row>
    <row r="52" ht="15.75" customHeight="1">
      <c r="B52" s="339"/>
    </row>
    <row r="53" ht="15.75" customHeight="1">
      <c r="B53" s="339"/>
    </row>
    <row r="54" ht="15.75" customHeight="1">
      <c r="B54" s="339"/>
    </row>
    <row r="55" ht="15.75" customHeight="1">
      <c r="B55" s="339"/>
      <c r="F55" s="340"/>
      <c r="G55" s="340"/>
    </row>
    <row r="56" ht="15.75" customHeight="1">
      <c r="B56" s="339"/>
      <c r="F56" s="340"/>
      <c r="G56" s="340"/>
    </row>
    <row r="57" ht="15.75" customHeight="1">
      <c r="B57" s="339"/>
    </row>
    <row r="58" ht="15.75" customHeight="1">
      <c r="B58" s="339"/>
    </row>
    <row r="59" ht="15.75" customHeight="1">
      <c r="B59" s="339"/>
    </row>
    <row r="60" ht="15.75" customHeight="1">
      <c r="B60" s="339"/>
    </row>
    <row r="61" ht="15.75" customHeight="1">
      <c r="B61" s="339"/>
    </row>
    <row r="62" ht="15.75" customHeight="1">
      <c r="B62" s="339"/>
    </row>
    <row r="63" ht="15.75" customHeight="1">
      <c r="B63" s="339"/>
    </row>
    <row r="64" ht="15.75" customHeight="1">
      <c r="B64" s="339"/>
    </row>
    <row r="65" ht="15.75" customHeight="1">
      <c r="B65" s="339"/>
    </row>
    <row r="66" ht="15.75" customHeight="1">
      <c r="B66" s="339"/>
    </row>
    <row r="67" ht="15.75" customHeight="1">
      <c r="B67" s="339"/>
    </row>
    <row r="68" ht="15.75" customHeight="1">
      <c r="B68" s="339"/>
    </row>
    <row r="69" ht="15.75" customHeight="1">
      <c r="B69" s="339"/>
    </row>
    <row r="70" ht="15.75" customHeight="1">
      <c r="B70" s="339"/>
    </row>
    <row r="71" ht="15.75" customHeight="1">
      <c r="B71" s="339"/>
    </row>
    <row r="72" ht="15.75" customHeight="1">
      <c r="B72" s="339"/>
    </row>
    <row r="73" ht="15.75" customHeight="1">
      <c r="B73" s="339"/>
    </row>
    <row r="74" ht="15.75" customHeight="1">
      <c r="B74" s="339"/>
    </row>
    <row r="75" ht="15.75" customHeight="1">
      <c r="B75" s="339"/>
    </row>
    <row r="76" ht="15.75" customHeight="1">
      <c r="B76" s="339"/>
    </row>
    <row r="77" ht="15.75" customHeight="1">
      <c r="B77" s="339"/>
    </row>
    <row r="78" ht="15.75" customHeight="1">
      <c r="B78" s="339"/>
    </row>
    <row r="79" ht="15.75" customHeight="1">
      <c r="B79" s="339"/>
    </row>
    <row r="80" ht="15.75" customHeight="1">
      <c r="B80" s="339"/>
    </row>
    <row r="81" ht="15.75" customHeight="1">
      <c r="B81" s="339"/>
    </row>
    <row r="82" ht="15.75" customHeight="1">
      <c r="B82" s="339"/>
    </row>
    <row r="83" ht="15.75" customHeight="1">
      <c r="B83" s="339"/>
    </row>
    <row r="84" ht="15.75" customHeight="1">
      <c r="B84" s="339"/>
    </row>
    <row r="85" ht="15.75" customHeight="1">
      <c r="B85" s="339"/>
    </row>
    <row r="86" ht="15.75" customHeight="1">
      <c r="B86" s="339"/>
    </row>
    <row r="87" ht="15.75" customHeight="1">
      <c r="B87" s="339"/>
    </row>
    <row r="88" ht="15.75" customHeight="1">
      <c r="B88" s="339"/>
    </row>
    <row r="89" ht="15.75" customHeight="1">
      <c r="B89" s="339"/>
    </row>
    <row r="90" ht="15.75" customHeight="1">
      <c r="B90" s="339"/>
    </row>
    <row r="91" ht="15.75" customHeight="1">
      <c r="B91" s="339"/>
    </row>
    <row r="92" ht="15.75" customHeight="1">
      <c r="B92" s="339"/>
    </row>
    <row r="93" ht="15.75" customHeight="1">
      <c r="B93" s="339"/>
    </row>
    <row r="94" ht="15.75" customHeight="1">
      <c r="B94" s="339"/>
    </row>
    <row r="95" ht="15.75" customHeight="1">
      <c r="B95" s="339"/>
    </row>
    <row r="96" ht="15.75" customHeight="1">
      <c r="B96" s="339"/>
    </row>
    <row r="97" ht="15.75" customHeight="1">
      <c r="B97" s="339"/>
    </row>
    <row r="98" ht="15.75" customHeight="1">
      <c r="B98" s="339"/>
    </row>
    <row r="99" ht="15.75" customHeight="1">
      <c r="B99" s="339"/>
    </row>
    <row r="100" ht="15.75" customHeight="1">
      <c r="B100" s="339"/>
    </row>
    <row r="101" ht="15.75" customHeight="1">
      <c r="B101" s="339"/>
    </row>
    <row r="102" ht="15.75" customHeight="1">
      <c r="B102" s="339"/>
    </row>
    <row r="103" ht="15.75" customHeight="1">
      <c r="B103" s="339"/>
    </row>
    <row r="104" ht="15.75" customHeight="1">
      <c r="B104" s="339"/>
    </row>
    <row r="105" ht="15.75" customHeight="1">
      <c r="B105" s="339"/>
    </row>
    <row r="106" ht="15.75" customHeight="1">
      <c r="B106" s="339"/>
    </row>
    <row r="107" ht="15.75" customHeight="1">
      <c r="B107" s="339"/>
    </row>
    <row r="108" ht="15.75" customHeight="1">
      <c r="B108" s="339"/>
    </row>
    <row r="109" ht="15.75" customHeight="1">
      <c r="B109" s="339"/>
    </row>
    <row r="110" ht="15.75" customHeight="1">
      <c r="B110" s="339"/>
    </row>
    <row r="111" ht="15.75" customHeight="1">
      <c r="B111" s="339"/>
    </row>
    <row r="112" ht="15.75" customHeight="1">
      <c r="B112" s="339"/>
    </row>
    <row r="113" ht="15.75" customHeight="1">
      <c r="B113" s="339"/>
    </row>
    <row r="114" ht="15.75" customHeight="1">
      <c r="B114" s="339"/>
    </row>
    <row r="115" ht="15.75" customHeight="1">
      <c r="B115" s="339"/>
    </row>
    <row r="116" ht="15.75" customHeight="1">
      <c r="B116" s="339"/>
    </row>
    <row r="117" ht="15.75" customHeight="1">
      <c r="B117" s="339"/>
    </row>
    <row r="118" ht="15.75" customHeight="1">
      <c r="B118" s="339"/>
    </row>
    <row r="119" ht="15.75" customHeight="1">
      <c r="B119" s="339"/>
    </row>
    <row r="120" ht="15.75" customHeight="1">
      <c r="B120" s="339"/>
    </row>
    <row r="121" ht="15.75" customHeight="1">
      <c r="B121" s="339"/>
    </row>
    <row r="122" ht="15.75" customHeight="1">
      <c r="B122" s="339"/>
    </row>
    <row r="123" ht="15.75" customHeight="1">
      <c r="B123" s="339"/>
    </row>
    <row r="124" ht="15.75" customHeight="1">
      <c r="B124" s="339"/>
    </row>
    <row r="125" ht="15.75" customHeight="1">
      <c r="B125" s="339"/>
    </row>
    <row r="126" ht="15.75" customHeight="1">
      <c r="B126" s="339"/>
    </row>
    <row r="127" ht="15.75" customHeight="1">
      <c r="B127" s="339"/>
    </row>
    <row r="128" ht="15.75" customHeight="1">
      <c r="B128" s="339"/>
    </row>
    <row r="129" ht="15.75" customHeight="1">
      <c r="B129" s="339"/>
    </row>
    <row r="130" ht="15.75" customHeight="1">
      <c r="B130" s="339"/>
    </row>
    <row r="131" ht="15.75" customHeight="1">
      <c r="B131" s="339"/>
    </row>
    <row r="132" ht="15.75" customHeight="1">
      <c r="B132" s="339"/>
    </row>
    <row r="133" ht="15.75" customHeight="1">
      <c r="B133" s="339"/>
    </row>
    <row r="134" ht="15.75" customHeight="1">
      <c r="B134" s="339"/>
    </row>
    <row r="135" ht="15.75" customHeight="1">
      <c r="B135" s="339"/>
    </row>
    <row r="136" ht="15.75" customHeight="1">
      <c r="B136" s="339"/>
    </row>
    <row r="137" ht="15.75" customHeight="1">
      <c r="B137" s="339"/>
    </row>
    <row r="138" ht="15.75" customHeight="1">
      <c r="B138" s="339"/>
    </row>
    <row r="139" ht="15.75" customHeight="1">
      <c r="B139" s="339"/>
    </row>
    <row r="140" ht="15.75" customHeight="1">
      <c r="B140" s="339"/>
    </row>
    <row r="141" ht="15.75" customHeight="1">
      <c r="B141" s="339"/>
    </row>
    <row r="142" ht="15.75" customHeight="1">
      <c r="B142" s="339"/>
    </row>
    <row r="143" ht="15.75" customHeight="1">
      <c r="B143" s="339"/>
    </row>
    <row r="144" ht="15.75" customHeight="1">
      <c r="B144" s="339"/>
    </row>
    <row r="145" ht="15.75" customHeight="1">
      <c r="B145" s="339"/>
    </row>
    <row r="146" ht="15.75" customHeight="1">
      <c r="B146" s="339"/>
    </row>
    <row r="147" ht="15.75" customHeight="1">
      <c r="B147" s="339"/>
    </row>
    <row r="148" ht="15.75" customHeight="1">
      <c r="B148" s="339"/>
    </row>
    <row r="149" ht="15.75" customHeight="1">
      <c r="B149" s="339"/>
    </row>
    <row r="150" ht="15.75" customHeight="1">
      <c r="B150" s="339"/>
    </row>
    <row r="151" ht="15.75" customHeight="1">
      <c r="B151" s="339"/>
    </row>
    <row r="152" ht="15.75" customHeight="1">
      <c r="B152" s="339"/>
    </row>
    <row r="153" ht="15.75" customHeight="1">
      <c r="B153" s="339"/>
    </row>
    <row r="154" ht="15.75" customHeight="1">
      <c r="B154" s="339"/>
    </row>
    <row r="155" ht="15.75" customHeight="1">
      <c r="B155" s="339"/>
    </row>
    <row r="156" ht="15.75" customHeight="1">
      <c r="B156" s="339"/>
    </row>
    <row r="157" ht="15.75" customHeight="1">
      <c r="B157" s="339"/>
    </row>
    <row r="158" ht="15.75" customHeight="1">
      <c r="B158" s="339"/>
    </row>
    <row r="159" ht="15.75" customHeight="1">
      <c r="B159" s="339"/>
    </row>
    <row r="160" ht="15.75" customHeight="1">
      <c r="B160" s="339"/>
    </row>
    <row r="161" ht="15.75" customHeight="1">
      <c r="B161" s="339"/>
    </row>
    <row r="162" ht="15.75" customHeight="1">
      <c r="B162" s="339"/>
    </row>
    <row r="163" ht="15.75" customHeight="1">
      <c r="B163" s="339"/>
    </row>
    <row r="164" ht="15.75" customHeight="1">
      <c r="B164" s="339"/>
    </row>
    <row r="165" ht="15.75" customHeight="1">
      <c r="B165" s="339"/>
    </row>
    <row r="166" ht="15.75" customHeight="1">
      <c r="B166" s="339"/>
    </row>
    <row r="167" ht="15.75" customHeight="1">
      <c r="B167" s="339"/>
    </row>
    <row r="168" ht="15.75" customHeight="1">
      <c r="B168" s="339"/>
    </row>
    <row r="169" ht="15.75" customHeight="1">
      <c r="B169" s="339"/>
    </row>
    <row r="170" ht="15.75" customHeight="1">
      <c r="B170" s="339"/>
    </row>
    <row r="171" ht="15.75" customHeight="1">
      <c r="B171" s="339"/>
    </row>
    <row r="172" ht="15.75" customHeight="1">
      <c r="B172" s="339"/>
    </row>
    <row r="173" ht="15.75" customHeight="1">
      <c r="B173" s="339"/>
    </row>
    <row r="174" ht="15.75" customHeight="1">
      <c r="B174" s="339"/>
    </row>
    <row r="175" ht="15.75" customHeight="1">
      <c r="B175" s="339"/>
    </row>
    <row r="176" ht="15.75" customHeight="1">
      <c r="B176" s="339"/>
    </row>
    <row r="177" ht="15.75" customHeight="1">
      <c r="B177" s="339"/>
    </row>
    <row r="178" ht="15.75" customHeight="1">
      <c r="B178" s="339"/>
    </row>
    <row r="179" ht="15.75" customHeight="1">
      <c r="B179" s="339"/>
    </row>
    <row r="180" ht="15.75" customHeight="1">
      <c r="B180" s="339"/>
    </row>
    <row r="181" ht="15.75" customHeight="1">
      <c r="B181" s="339"/>
    </row>
    <row r="182" ht="15.75" customHeight="1">
      <c r="B182" s="339"/>
    </row>
    <row r="183" ht="15.75" customHeight="1">
      <c r="B183" s="339"/>
    </row>
    <row r="184" ht="15.75" customHeight="1">
      <c r="B184" s="339"/>
    </row>
    <row r="185" ht="15.75" customHeight="1">
      <c r="B185" s="339"/>
    </row>
    <row r="186" ht="15.75" customHeight="1">
      <c r="B186" s="339"/>
    </row>
    <row r="187" ht="15.75" customHeight="1">
      <c r="B187" s="339"/>
    </row>
    <row r="188" ht="15.75" customHeight="1">
      <c r="B188" s="339"/>
    </row>
    <row r="189" ht="15.75" customHeight="1">
      <c r="B189" s="339"/>
    </row>
    <row r="190" ht="15.75" customHeight="1">
      <c r="B190" s="339"/>
    </row>
    <row r="191" ht="15.75" customHeight="1">
      <c r="B191" s="339"/>
    </row>
    <row r="192" ht="15.75" customHeight="1">
      <c r="B192" s="339"/>
    </row>
    <row r="193" ht="15.75" customHeight="1">
      <c r="B193" s="339"/>
    </row>
    <row r="194" ht="15.75" customHeight="1">
      <c r="B194" s="339"/>
    </row>
    <row r="195" ht="15.75" customHeight="1">
      <c r="B195" s="339"/>
    </row>
    <row r="196" ht="15.75" customHeight="1">
      <c r="B196" s="339"/>
    </row>
    <row r="197" ht="15.75" customHeight="1">
      <c r="B197" s="339"/>
    </row>
    <row r="198" ht="15.75" customHeight="1">
      <c r="B198" s="339"/>
    </row>
    <row r="199" ht="15.75" customHeight="1">
      <c r="B199" s="339"/>
    </row>
    <row r="200" ht="15.75" customHeight="1">
      <c r="B200" s="339"/>
    </row>
    <row r="201" ht="15.75" customHeight="1">
      <c r="B201" s="339"/>
    </row>
    <row r="202" ht="15.75" customHeight="1">
      <c r="B202" s="339"/>
    </row>
    <row r="203" ht="15.75" customHeight="1">
      <c r="B203" s="339"/>
    </row>
    <row r="204" ht="15.75" customHeight="1">
      <c r="B204" s="339"/>
    </row>
    <row r="205" ht="15.75" customHeight="1">
      <c r="B205" s="339"/>
    </row>
    <row r="206" ht="15.75" customHeight="1">
      <c r="B206" s="339"/>
    </row>
    <row r="207" ht="15.75" customHeight="1">
      <c r="B207" s="339"/>
    </row>
    <row r="208" ht="15.75" customHeight="1">
      <c r="B208" s="339"/>
    </row>
    <row r="209" ht="15.75" customHeight="1">
      <c r="B209" s="339"/>
    </row>
    <row r="210" ht="15.75" customHeight="1">
      <c r="B210" s="339"/>
    </row>
    <row r="211" ht="15.75" customHeight="1">
      <c r="B211" s="339"/>
    </row>
    <row r="212" ht="15.75" customHeight="1">
      <c r="B212" s="339"/>
    </row>
    <row r="213" ht="15.75" customHeight="1">
      <c r="B213" s="339"/>
    </row>
    <row r="214" ht="15.75" customHeight="1">
      <c r="B214" s="339"/>
    </row>
    <row r="215" ht="15.75" customHeight="1">
      <c r="B215" s="339"/>
    </row>
    <row r="216" ht="15.75" customHeight="1">
      <c r="B216" s="339"/>
    </row>
    <row r="217" ht="15.75" customHeight="1">
      <c r="B217" s="339"/>
    </row>
    <row r="218" ht="15.75" customHeight="1">
      <c r="B218" s="339"/>
    </row>
    <row r="219" ht="15.75" customHeight="1">
      <c r="B219" s="339"/>
    </row>
    <row r="220" ht="15.75" customHeight="1">
      <c r="B220" s="339"/>
    </row>
    <row r="221" ht="15.75" customHeight="1">
      <c r="B221" s="339"/>
    </row>
    <row r="222" ht="15.75" customHeight="1">
      <c r="B222" s="339"/>
    </row>
    <row r="223" ht="15.75" customHeight="1">
      <c r="B223" s="339"/>
    </row>
    <row r="224" ht="15.75" customHeight="1">
      <c r="B224" s="339"/>
    </row>
    <row r="225" ht="15.75" customHeight="1">
      <c r="B225" s="339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J2:L2"/>
    <mergeCell ref="C3:D3"/>
    <mergeCell ref="G3:I3"/>
    <mergeCell ref="K3:L3"/>
    <mergeCell ref="G4:H4"/>
    <mergeCell ref="K4:L4"/>
    <mergeCell ref="C5:I5"/>
    <mergeCell ref="G23:I25"/>
    <mergeCell ref="J23:L25"/>
    <mergeCell ref="K5:L5"/>
    <mergeCell ref="J7:L22"/>
    <mergeCell ref="D16:D18"/>
    <mergeCell ref="B17:B18"/>
    <mergeCell ref="C17:C18"/>
    <mergeCell ref="E17:E18"/>
    <mergeCell ref="F17:F18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9.89"/>
    <col customWidth="1" min="2" max="2" width="9.67"/>
    <col customWidth="1" min="3" max="3" width="27.33"/>
    <col customWidth="1" min="4" max="4" width="14.22"/>
    <col customWidth="1" min="5" max="5" width="13.67"/>
    <col customWidth="1" min="6" max="6" width="13.33"/>
    <col customWidth="1" min="7" max="7" width="8.44"/>
    <col customWidth="1" min="8" max="8" width="15.11"/>
    <col customWidth="1" min="9" max="9" width="6.44"/>
  </cols>
  <sheetData>
    <row r="1">
      <c r="A1" s="55"/>
      <c r="B1" s="108"/>
      <c r="C1" s="111"/>
      <c r="D1" s="341"/>
      <c r="E1" s="341"/>
      <c r="F1" s="341"/>
      <c r="G1" s="342"/>
      <c r="H1" s="343"/>
      <c r="I1" s="343"/>
    </row>
    <row r="2" ht="30.0" customHeight="1">
      <c r="A2" s="344" t="s">
        <v>556</v>
      </c>
      <c r="B2" s="345" t="s">
        <v>2</v>
      </c>
      <c r="C2" s="4"/>
      <c r="D2" s="4"/>
      <c r="E2" s="4"/>
      <c r="F2" s="6"/>
      <c r="G2" s="346" t="s">
        <v>565</v>
      </c>
      <c r="H2" s="347">
        <v>17.0</v>
      </c>
      <c r="I2" s="343"/>
    </row>
    <row r="3" ht="30.75" customHeight="1">
      <c r="A3" s="344" t="s">
        <v>635</v>
      </c>
      <c r="B3" s="74" t="s">
        <v>636</v>
      </c>
      <c r="C3" s="4"/>
      <c r="D3" s="4"/>
      <c r="E3" s="4"/>
      <c r="F3" s="6"/>
      <c r="G3" s="346" t="s">
        <v>637</v>
      </c>
      <c r="H3" s="347"/>
      <c r="I3" s="343"/>
    </row>
    <row r="4" ht="57.0" customHeight="1">
      <c r="A4" s="344" t="s">
        <v>638</v>
      </c>
      <c r="B4" s="10" t="s">
        <v>639</v>
      </c>
      <c r="C4" s="4"/>
      <c r="D4" s="4"/>
      <c r="E4" s="4"/>
      <c r="F4" s="4"/>
      <c r="G4" s="346" t="s">
        <v>640</v>
      </c>
      <c r="H4" s="347"/>
      <c r="I4" s="343"/>
    </row>
    <row r="5" ht="82.5" customHeight="1">
      <c r="A5" s="344" t="s">
        <v>641</v>
      </c>
      <c r="B5" s="10" t="s">
        <v>642</v>
      </c>
      <c r="C5" s="4"/>
      <c r="D5" s="4"/>
      <c r="E5" s="4"/>
      <c r="F5" s="4"/>
      <c r="G5" s="348"/>
      <c r="H5" s="348"/>
      <c r="I5" s="349"/>
    </row>
    <row r="6" ht="74.25" customHeight="1">
      <c r="A6" s="344" t="s">
        <v>643</v>
      </c>
      <c r="B6" s="350" t="s">
        <v>644</v>
      </c>
      <c r="C6" s="15"/>
      <c r="D6" s="15"/>
      <c r="E6" s="15"/>
      <c r="F6" s="15"/>
      <c r="G6" s="348"/>
      <c r="H6" s="348"/>
      <c r="I6" s="349"/>
    </row>
    <row r="7" ht="18.0" customHeight="1">
      <c r="A7" s="351" t="s">
        <v>645</v>
      </c>
      <c r="B7" s="352" t="s">
        <v>646</v>
      </c>
      <c r="C7" s="348" t="s">
        <v>647</v>
      </c>
      <c r="D7" s="348" t="s">
        <v>648</v>
      </c>
      <c r="E7" s="348" t="s">
        <v>649</v>
      </c>
      <c r="F7" s="348" t="s">
        <v>650</v>
      </c>
      <c r="G7" s="348" t="s">
        <v>651</v>
      </c>
      <c r="H7" s="348" t="s">
        <v>652</v>
      </c>
      <c r="I7" s="353" t="s">
        <v>545</v>
      </c>
    </row>
    <row r="8">
      <c r="A8" s="354" t="s">
        <v>653</v>
      </c>
      <c r="B8" s="355" t="s">
        <v>654</v>
      </c>
      <c r="C8" s="356" t="s">
        <v>655</v>
      </c>
      <c r="D8" s="357" t="s">
        <v>656</v>
      </c>
      <c r="E8" s="357" t="s">
        <v>657</v>
      </c>
      <c r="F8" s="357" t="s">
        <v>658</v>
      </c>
      <c r="G8" s="358" t="s">
        <v>659</v>
      </c>
      <c r="H8" s="359" t="s">
        <v>660</v>
      </c>
      <c r="I8" s="347"/>
    </row>
    <row r="9">
      <c r="A9" s="53"/>
      <c r="B9" s="53"/>
      <c r="C9" s="360" t="s">
        <v>661</v>
      </c>
      <c r="D9" s="361"/>
      <c r="E9" s="361" t="s">
        <v>662</v>
      </c>
      <c r="F9" s="361" t="s">
        <v>663</v>
      </c>
      <c r="G9" s="358" t="s">
        <v>659</v>
      </c>
      <c r="H9" s="359" t="s">
        <v>664</v>
      </c>
      <c r="I9" s="347"/>
    </row>
    <row r="10">
      <c r="A10" s="53"/>
      <c r="B10" s="54"/>
      <c r="C10" s="360"/>
      <c r="D10" s="361"/>
      <c r="E10" s="361"/>
      <c r="F10" s="362"/>
      <c r="G10" s="358"/>
      <c r="H10" s="359"/>
      <c r="I10" s="347"/>
    </row>
    <row r="11">
      <c r="A11" s="53"/>
      <c r="B11" s="355" t="s">
        <v>665</v>
      </c>
      <c r="C11" s="356" t="s">
        <v>666</v>
      </c>
      <c r="D11" s="363" t="s">
        <v>667</v>
      </c>
      <c r="E11" s="364"/>
      <c r="F11" s="363"/>
      <c r="G11" s="358"/>
      <c r="H11" s="359" t="s">
        <v>668</v>
      </c>
      <c r="I11" s="347"/>
    </row>
    <row r="12">
      <c r="A12" s="53"/>
      <c r="B12" s="54"/>
      <c r="C12" s="360" t="s">
        <v>669</v>
      </c>
      <c r="D12" s="363"/>
      <c r="E12" s="364"/>
      <c r="F12" s="363"/>
      <c r="G12" s="358"/>
      <c r="H12" s="359"/>
      <c r="I12" s="347"/>
    </row>
    <row r="13">
      <c r="A13" s="53"/>
      <c r="B13" s="354" t="s">
        <v>670</v>
      </c>
      <c r="C13" s="80" t="s">
        <v>671</v>
      </c>
      <c r="D13" s="365" t="s">
        <v>672</v>
      </c>
      <c r="E13" s="365" t="s">
        <v>673</v>
      </c>
      <c r="F13" s="365"/>
      <c r="G13" s="358" t="s">
        <v>674</v>
      </c>
      <c r="H13" s="359"/>
      <c r="I13" s="347"/>
    </row>
    <row r="14">
      <c r="A14" s="54"/>
      <c r="B14" s="54"/>
      <c r="C14" s="80"/>
      <c r="D14" s="365"/>
      <c r="E14" s="365"/>
      <c r="F14" s="76"/>
      <c r="G14" s="358"/>
      <c r="H14" s="359"/>
      <c r="I14" s="347"/>
    </row>
    <row r="15" ht="15.75" customHeight="1">
      <c r="A15" s="354" t="s">
        <v>675</v>
      </c>
      <c r="B15" s="355" t="s">
        <v>654</v>
      </c>
      <c r="C15" s="356" t="s">
        <v>676</v>
      </c>
      <c r="D15" s="357" t="s">
        <v>677</v>
      </c>
      <c r="E15" s="357" t="s">
        <v>678</v>
      </c>
      <c r="F15" s="357" t="s">
        <v>679</v>
      </c>
      <c r="G15" s="358"/>
      <c r="H15" s="359"/>
      <c r="I15" s="347"/>
    </row>
    <row r="16" ht="15.75" customHeight="1">
      <c r="A16" s="53"/>
      <c r="B16" s="53"/>
      <c r="C16" s="360" t="s">
        <v>680</v>
      </c>
      <c r="D16" s="361"/>
      <c r="E16" s="362" t="s">
        <v>681</v>
      </c>
      <c r="F16" s="362"/>
      <c r="G16" s="358" t="s">
        <v>659</v>
      </c>
      <c r="H16" s="359"/>
      <c r="I16" s="347"/>
    </row>
    <row r="17" ht="15.75" customHeight="1">
      <c r="A17" s="53"/>
      <c r="B17" s="54"/>
      <c r="C17" s="366"/>
      <c r="D17" s="363"/>
      <c r="E17" s="363"/>
      <c r="F17" s="363"/>
      <c r="G17" s="358"/>
      <c r="H17" s="359"/>
      <c r="I17" s="347"/>
    </row>
    <row r="18" ht="15.75" customHeight="1">
      <c r="A18" s="53"/>
      <c r="B18" s="355" t="s">
        <v>665</v>
      </c>
      <c r="C18" s="356" t="s">
        <v>682</v>
      </c>
      <c r="D18" s="363"/>
      <c r="E18" s="364" t="s">
        <v>683</v>
      </c>
      <c r="F18" s="363"/>
      <c r="G18" s="358"/>
      <c r="H18" s="359"/>
      <c r="I18" s="347"/>
    </row>
    <row r="19" ht="15.75" customHeight="1">
      <c r="A19" s="53"/>
      <c r="B19" s="54"/>
      <c r="C19" s="360"/>
      <c r="D19" s="363"/>
      <c r="E19" s="364"/>
      <c r="F19" s="363"/>
      <c r="G19" s="358"/>
      <c r="H19" s="359"/>
      <c r="I19" s="347"/>
    </row>
    <row r="20" ht="15.75" customHeight="1">
      <c r="A20" s="53"/>
      <c r="B20" s="354" t="s">
        <v>670</v>
      </c>
      <c r="C20" s="80" t="s">
        <v>684</v>
      </c>
      <c r="D20" s="365" t="s">
        <v>685</v>
      </c>
      <c r="E20" s="365" t="s">
        <v>686</v>
      </c>
      <c r="F20" s="365" t="s">
        <v>687</v>
      </c>
      <c r="G20" s="358" t="s">
        <v>688</v>
      </c>
      <c r="H20" s="359"/>
      <c r="I20" s="347"/>
    </row>
    <row r="21" ht="15.75" customHeight="1">
      <c r="A21" s="54"/>
      <c r="B21" s="54"/>
      <c r="C21" s="78"/>
      <c r="D21" s="76"/>
      <c r="E21" s="76"/>
      <c r="F21" s="76"/>
      <c r="G21" s="367"/>
      <c r="H21" s="368"/>
      <c r="I21" s="369"/>
    </row>
    <row r="22" ht="15.75" customHeight="1">
      <c r="A22" s="370"/>
      <c r="B22" s="370"/>
      <c r="C22" s="371"/>
      <c r="D22" s="38"/>
      <c r="E22" s="38"/>
      <c r="F22" s="38"/>
      <c r="G22" s="372"/>
      <c r="H22" s="372"/>
      <c r="I22" s="373"/>
    </row>
    <row r="23" ht="15.75" customHeight="1">
      <c r="A23" s="374"/>
      <c r="C23" s="375"/>
      <c r="D23" s="376"/>
      <c r="E23" s="55"/>
      <c r="F23" s="55"/>
      <c r="G23" s="341"/>
      <c r="H23" s="341"/>
      <c r="I23" s="343"/>
    </row>
    <row r="24" ht="15.75" customHeight="1">
      <c r="A24" s="374"/>
      <c r="C24" s="141"/>
    </row>
    <row r="25" ht="15.75" customHeight="1">
      <c r="A25" s="374"/>
      <c r="C25" s="141"/>
    </row>
    <row r="26" ht="15.75" customHeight="1">
      <c r="A26" s="374"/>
      <c r="C26" s="141"/>
    </row>
    <row r="27" ht="15.75" customHeight="1">
      <c r="A27" s="374"/>
      <c r="C27" s="141"/>
    </row>
    <row r="28" ht="15.75" customHeight="1">
      <c r="A28" s="374"/>
      <c r="C28" s="141"/>
    </row>
    <row r="29" ht="15.75" customHeight="1">
      <c r="C29" s="141"/>
    </row>
    <row r="30" ht="15.75" customHeight="1">
      <c r="C30" s="141"/>
    </row>
    <row r="31" ht="15.75" customHeight="1">
      <c r="C31" s="15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F2"/>
    <mergeCell ref="B3:F3"/>
    <mergeCell ref="B4:F4"/>
    <mergeCell ref="B5:F5"/>
    <mergeCell ref="B6:F6"/>
    <mergeCell ref="A8:A14"/>
    <mergeCell ref="B8:B10"/>
    <mergeCell ref="B25:B26"/>
    <mergeCell ref="B27:B28"/>
    <mergeCell ref="B11:B12"/>
    <mergeCell ref="B13:B14"/>
    <mergeCell ref="A15:A21"/>
    <mergeCell ref="B15:B17"/>
    <mergeCell ref="B18:B19"/>
    <mergeCell ref="B20:B21"/>
    <mergeCell ref="B22:B2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2">
      <c r="B2" s="377" t="s">
        <v>689</v>
      </c>
    </row>
    <row r="3" ht="18.75" customHeight="1">
      <c r="B3" s="377" t="s">
        <v>690</v>
      </c>
    </row>
    <row r="4" ht="18.75" customHeight="1">
      <c r="B4" s="378" t="s">
        <v>691</v>
      </c>
      <c r="C4" s="378"/>
      <c r="D4" s="378"/>
      <c r="E4" s="378"/>
      <c r="F4" s="378"/>
      <c r="G4" s="378"/>
    </row>
    <row r="5" ht="18.75" customHeight="1">
      <c r="B5" s="378" t="s">
        <v>692</v>
      </c>
      <c r="C5" s="378"/>
      <c r="D5" s="378"/>
      <c r="E5" s="378"/>
      <c r="F5" s="378"/>
      <c r="G5" s="378"/>
    </row>
    <row r="6" ht="18.75" customHeight="1">
      <c r="B6" s="378" t="s">
        <v>693</v>
      </c>
      <c r="C6" s="378"/>
      <c r="D6" s="378"/>
      <c r="E6" s="378"/>
      <c r="F6" s="378"/>
      <c r="G6" s="378"/>
    </row>
    <row r="7" ht="18.75" customHeight="1">
      <c r="B7" s="378" t="s">
        <v>694</v>
      </c>
      <c r="C7" s="378"/>
      <c r="D7" s="378"/>
      <c r="E7" s="378"/>
      <c r="F7" s="378"/>
      <c r="G7" s="378"/>
    </row>
    <row r="8" ht="18.75" customHeight="1">
      <c r="B8" s="379" t="s">
        <v>695</v>
      </c>
      <c r="C8" s="379"/>
      <c r="D8" s="379"/>
      <c r="E8" s="379"/>
      <c r="F8" s="379"/>
      <c r="G8" s="379"/>
    </row>
    <row r="9" ht="18.75" customHeight="1">
      <c r="B9" s="379" t="s">
        <v>696</v>
      </c>
      <c r="C9" s="379"/>
      <c r="D9" s="379"/>
      <c r="E9" s="379"/>
      <c r="F9" s="379"/>
      <c r="G9" s="379"/>
    </row>
    <row r="10" ht="18.75" customHeight="1">
      <c r="B10" s="379" t="s">
        <v>697</v>
      </c>
      <c r="C10" s="379"/>
      <c r="D10" s="379"/>
      <c r="E10" s="379"/>
      <c r="F10" s="379"/>
      <c r="G10" s="379"/>
    </row>
    <row r="11" ht="18.75" customHeight="1">
      <c r="B11" s="380" t="s">
        <v>698</v>
      </c>
      <c r="C11" s="380"/>
      <c r="D11" s="380"/>
      <c r="E11" s="380"/>
      <c r="F11" s="380"/>
      <c r="G11" s="380"/>
    </row>
    <row r="12" ht="18.75" customHeight="1">
      <c r="B12" s="380" t="s">
        <v>699</v>
      </c>
      <c r="C12" s="380"/>
      <c r="D12" s="380"/>
      <c r="E12" s="380"/>
      <c r="F12" s="380"/>
      <c r="G12" s="380"/>
    </row>
    <row r="13" ht="18.75" customHeight="1">
      <c r="B13" s="381" t="s">
        <v>700</v>
      </c>
      <c r="C13" s="381"/>
      <c r="D13" s="381"/>
      <c r="E13" s="381"/>
      <c r="F13" s="381"/>
      <c r="G13" s="381"/>
    </row>
    <row r="14" ht="18.75" customHeight="1">
      <c r="B14" s="381" t="s">
        <v>701</v>
      </c>
      <c r="C14" s="381"/>
      <c r="D14" s="381"/>
      <c r="E14" s="381"/>
      <c r="F14" s="381"/>
      <c r="G14" s="381"/>
    </row>
    <row r="15" ht="18.75" customHeight="1">
      <c r="B15" s="382" t="s">
        <v>702</v>
      </c>
      <c r="C15" s="382"/>
      <c r="D15" s="382"/>
      <c r="E15" s="382"/>
      <c r="F15" s="382"/>
      <c r="G15" s="382"/>
    </row>
    <row r="16" ht="18.75" customHeight="1">
      <c r="B16" s="382" t="s">
        <v>703</v>
      </c>
      <c r="C16" s="382"/>
      <c r="D16" s="382"/>
      <c r="E16" s="382"/>
      <c r="F16" s="382"/>
      <c r="G16" s="382"/>
    </row>
    <row r="17" ht="18.75" customHeight="1">
      <c r="B17" s="382" t="s">
        <v>704</v>
      </c>
      <c r="C17" s="382"/>
      <c r="D17" s="382"/>
      <c r="E17" s="382"/>
      <c r="F17" s="382"/>
      <c r="G17" s="382"/>
    </row>
    <row r="18" ht="18.75" customHeight="1">
      <c r="B18" s="382" t="s">
        <v>705</v>
      </c>
      <c r="C18" s="382"/>
      <c r="D18" s="382"/>
      <c r="E18" s="382"/>
      <c r="F18" s="382"/>
      <c r="G18" s="382"/>
    </row>
    <row r="19" ht="18.75" customHeight="1">
      <c r="B19" s="382" t="s">
        <v>706</v>
      </c>
      <c r="C19" s="382"/>
      <c r="D19" s="382"/>
      <c r="E19" s="382"/>
      <c r="F19" s="382"/>
      <c r="G19" s="382"/>
    </row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